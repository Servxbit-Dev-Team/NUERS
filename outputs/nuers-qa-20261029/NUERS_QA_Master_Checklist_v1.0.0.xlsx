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dec62ea36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Overview" sheetId="1" r:id="Ra5e2bbd0958c46b5"/>
    <x:sheet xmlns:r="http://schemas.openxmlformats.org/officeDocument/2006/relationships" name="Test Cases" sheetId="2" r:id="R8426a22ee50642ca"/>
    <x:sheet xmlns:r="http://schemas.openxmlformats.org/officeDocument/2006/relationships" name="Page Inventory" sheetId="3" r:id="R95fa4b641de842f5"/>
    <x:sheet xmlns:r="http://schemas.openxmlformats.org/officeDocument/2006/relationships" name="Test Data" sheetId="4" r:id="Rb53f7ed3671440b5"/>
    <x:sheet xmlns:r="http://schemas.openxmlformats.org/officeDocument/2006/relationships" name="Defect Log" sheetId="5" r:id="R42fd97a10e8b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7">
    <x:font>
      <x:sz val="11"/>
      <x:name val="Carlito"/>
    </x:font>
    <x:font>
      <x:sz val="11"/>
      <x:color rgb="FF082B52"/>
      <x:name val="Arial"/>
    </x:font>
    <x:font>
      <x:b/>
      <x:sz val="17"/>
      <x:color rgb="FF082B52"/>
      <x:name val="Arial"/>
    </x:font>
    <x:font>
      <x:sz val="11"/>
      <x:color rgb="FF537091"/>
      <x:name val="Arial"/>
    </x:font>
    <x:font>
      <x:b/>
      <x:sz val="11"/>
      <x:color rgb="FFFFFFFF"/>
      <x:name val="Arial"/>
    </x:font>
    <x:font>
      <x:b/>
      <x:sz val="11"/>
      <x:color rgb="FF082B52"/>
      <x:name val="Arial"/>
    </x:font>
    <x:font>
      <x:b/>
      <x:sz val="11"/>
      <x:color rgb="FF53709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82B52"/>
      </x:patternFill>
    </x:fill>
    <x:fill>
      <x:patternFill patternType="solid">
        <x:fgColor rgb="FFEFF5FC"/>
      </x:patternFill>
    </x:fill>
    <x:fill>
      <x:patternFill patternType="solid">
        <x:fgColor rgb="FFFFF5D6"/>
      </x:patternFill>
    </x:fill>
    <x:fill>
      <x:patternFill patternType="solid">
        <x:fgColor rgb="FFFFF9E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5BDF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6">
    <x:dxf>
      <x:font>
        <x:b/>
        <x:color rgb="FFBA223B"/>
      </x:font>
      <x:fill>
        <x:patternFill patternType="solid">
          <x:bgColor rgb="FFFDEBED"/>
        </x:patternFill>
      </x:fill>
    </x:dxf>
    <x:dxf>
      <x:font>
        <x:color rgb="FF805A00"/>
      </x:font>
      <x:fill>
        <x:patternFill patternType="solid">
          <x:bgColor rgb="FFFFF5D6"/>
        </x:patternFill>
      </x:fill>
    </x:dxf>
    <x:dxf>
      <x:font>
        <x:color rgb="FF14734F"/>
      </x:font>
    </x:dxf>
    <x:dxf>
      <x:font>
        <x:b/>
        <x:color rgb="FFBA223B"/>
      </x:font>
      <x:fill>
        <x:patternFill patternType="solid">
          <x:bgColor rgb="FFFDEBED"/>
        </x:patternFill>
      </x:fill>
    </x:dxf>
    <x:dxf>
      <x:font>
        <x:color rgb="FF805A00"/>
      </x:font>
      <x:fill>
        <x:patternFill patternType="solid">
          <x:bgColor rgb="FFFFF5D6"/>
        </x:patternFill>
      </x:fill>
    </x:dxf>
    <x:dxf>
      <x:font>
        <x:color rgb="FF14734F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7b9b002b84253" /><Relationship Type="http://schemas.openxmlformats.org/officeDocument/2006/relationships/theme" Target="/xl/theme/theme1.xml" Id="R4df956e49efc4d49" /><Relationship Type="http://schemas.openxmlformats.org/officeDocument/2006/relationships/sharedStrings" Target="/xl/sharedStrings.xml" Id="Rc6323acb71c14583" /><Relationship Type="http://schemas.openxmlformats.org/officeDocument/2006/relationships/worksheet" Target="/xl/worksheets/sheet1.xml" Id="Ra5e2bbd0958c46b5" /><Relationship Type="http://schemas.openxmlformats.org/officeDocument/2006/relationships/worksheet" Target="/xl/worksheets/sheet2.xml" Id="R8426a22ee50642ca" /><Relationship Type="http://schemas.openxmlformats.org/officeDocument/2006/relationships/worksheet" Target="/xl/worksheets/sheet3.xml" Id="R95fa4b641de842f5" /><Relationship Type="http://schemas.openxmlformats.org/officeDocument/2006/relationships/worksheet" Target="/xl/worksheets/sheet4.xml" Id="Rb53f7ed3671440b5" /><Relationship Type="http://schemas.openxmlformats.org/officeDocument/2006/relationships/worksheet" Target="/xl/worksheets/sheet5.xml" Id="R42fd97a10e8b42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73d44103657445b" /></Relationships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1</xdr:row>
      <xdr:rowOff>0</xdr:rowOff>
    </xdr:from>
    <xdr:ext cx="2190750" cy="819150"/>
    <xdr:pic>
      <xdr:nvPicPr>
        <xdr:cNvPr id="1" name="c6c7a2a7-2427-493f-b678-e6b1ae043a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d4410365744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NuersTestCases" displayName="NuersTestCases" ref="A5:Q230" headerRowCount="1" totalsRowCount="0" totalsRowShown="0">
  <x:autoFilter ref="A5:Q230"/>
  <x:tableColumns count="17">
    <x:tableColumn id="1" name="Test ID"/>
    <x:tableColumn id="2" name="Area"/>
    <x:tableColumn id="3" name="Priority"/>
    <x:tableColumn id="4" name="Result"/>
    <x:tableColumn id="5" name="Scenario"/>
    <x:tableColumn id="6" name="Steps"/>
    <x:tableColumn id="7" name="Expected result"/>
    <x:tableColumn id="8" name="Test data"/>
    <x:tableColumn id="9" name="Test role"/>
    <x:tableColumn id="10" name="Execution phase"/>
    <x:tableColumn id="11" name="Actual result"/>
    <x:tableColumn id="12" name="Evidence / attachment link"/>
    <x:tableColumn id="13" name="Defect ID"/>
    <x:tableColumn id="14" name="Tester"/>
    <x:tableColumn id="15" name="Tested on (PHT)"/>
    <x:tableColumn id="16" name="Release / build"/>
    <x:tableColumn id="17" name="Environ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uersPageInventory" displayName="NuersPageInventory" ref="A5:K171" headerRowCount="1" totalsRowCount="0" totalsRowShown="0">
  <x:autoFilter ref="A5:K171"/>
  <x:tableColumns count="11">
    <x:tableColumn id="1" name="Route ID"/>
    <x:tableColumn id="2" name="URL pattern"/>
    <x:tableColumn id="3" name="Declared route access"/>
    <x:tableColumn id="4" name="Route type"/>
    <x:tableColumn id="5" name="Destination / common cases"/>
    <x:tableColumn id="6" name="Required coverage"/>
    <x:tableColumn id="7" name="Result"/>
    <x:tableColumn id="8" name="Failed test IDs"/>
    <x:tableColumn id="9" name="Evidence / notes"/>
    <x:tableColumn id="10" name="Tester"/>
    <x:tableColumn id="11" name="Release / buil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uersTestData" displayName="NuersTestData" ref="A5:D25" headerRowCount="1" totalsRowCount="0" totalsRowShown="0">
  <x:autoFilter ref="A5:D25"/>
  <x:tableColumns count="4">
    <x:tableColumn id="1" name="Data ID"/>
    <x:tableColumn id="2" name="Fixture"/>
    <x:tableColumn id="3" name="Required setup / values"/>
    <x:tableColumn id="4" name="Expected control / u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uersDefects" displayName="NuersDefects" ref="A5:M30" headerRowCount="1" totalsRowCount="0" totalsRowShown="0">
  <x:autoFilter ref="A5:M30"/>
  <x:tableColumns count="13">
    <x:tableColumn id="1" name="Defect ID"/>
    <x:tableColumn id="2" name="Test / route ID"/>
    <x:tableColumn id="3" name="Severity"/>
    <x:tableColumn id="4" name="Status"/>
    <x:tableColumn id="5" name="Summary"/>
    <x:tableColumn id="6" name="Steps to reproduce"/>
    <x:tableColumn id="7" name="Expected result"/>
    <x:tableColumn id="8" name="Actual result / evidence"/>
    <x:tableColumn id="9" name="Environment / build"/>
    <x:tableColumn id="10" name="Owner"/>
    <x:tableColumn id="11" name="Found on (PHT)"/>
    <x:tableColumn id="12" name="Retested on (PHT)"/>
    <x:tableColumn id="13" name="Retest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5bfb02a66b4e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d879caa45e43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f77d7670204c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a81288a19b4a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4c66628e824ca5" /></Relationships>
</file>

<file path=xl/worksheets/sheet1.xml><?xml version="1.0" encoding="utf-8"?>
<x:worksheet xmlns:x="http://schemas.openxmlformats.org/spreadsheetml/2006/main">
  <x:sheetPr>
    <x:tabColor rgb="FF082B52"/>
  </x:sheetPr>
  <x:sheetViews>
    <x:sheetView showGridLines="0" workbookViewId="0"/>
  </x:sheetViews>
  <x:sheetFormatPr defaultRowHeight="15"/>
  <x:cols>
    <x:col min="1" max="1" width="46" hidden="0" customWidth="1"/>
    <x:col min="2" max="2" width="13" hidden="0" customWidth="1"/>
    <x:col min="3" max="3" width="12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2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4" t="str">
        <x:v>NUERS QA MASTER CHECKLIST</x:v>
      </x:c>
      <x:c r="B2" s="2"/>
      <x:c r="C2" s="2"/>
      <x:c r="D2" s="2"/>
      <x:c r="E2" s="2"/>
      <x:c r="F2" s="2"/>
      <x:c r="G2" s="2"/>
      <x:c r="H2" s="2"/>
    </x:row>
    <x:row r="3" ht="24" customHeight="1">
      <x:c r="A3" s="5" t="str">
        <x:v>Software 1.0.0 | Plan dated 29 October 2026 | Enter the exact release/build tested</x:v>
      </x:c>
      <x:c r="B3" s="2"/>
      <x:c r="C3" s="2"/>
      <x:c r="D3" s="2"/>
      <x:c r="E3" s="2"/>
      <x:c r="F3" s="2"/>
      <x:c r="G3" s="2"/>
      <x:c r="H3" s="2"/>
    </x:row>
    <x:row r="4" ht="8" customHeight="1">
      <x:c r="A4" s="3"/>
      <x:c r="B4" s="3"/>
      <x:c r="C4" s="3"/>
      <x:c r="D4" s="3"/>
      <x:c r="E4" s="3"/>
      <x:c r="F4" s="3"/>
      <x:c r="G4" s="3"/>
      <x:c r="H4" s="3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6" customHeight="1">
      <x:c r="A6" s="2" t="str">
        <x:v>Detailed test cases</x:v>
      </x:c>
      <x:c r="B6" s="16" t="n">
        <x:f>COUNTA('Test Cases'!A6:A230)</x:f>
        <x:v>225</x:v>
      </x:c>
      <x:c r="C6" s="2" t="str">
        <x:v>Page routes</x:v>
      </x:c>
      <x:c r="D6" s="16" t="n">
        <x:v>166</x:v>
      </x:c>
      <x:c r="E6" s="2"/>
      <x:c r="F6" s="2"/>
      <x:c r="G6" s="2"/>
      <x:c r="H6" s="2"/>
    </x:row>
    <x:row r="7" ht="26" customHeight="1">
      <x:c r="A7" s="2" t="str">
        <x:v>Passed test cases</x:v>
      </x:c>
      <x:c r="B7" s="16" t="n">
        <x:f>COUNTIFS('Test Cases'!D6:D230,"Pass")</x:f>
        <x:v>0</x:v>
      </x:c>
      <x:c r="C7" s="2" t="str">
        <x:v>Failed</x:v>
      </x:c>
      <x:c r="D7" s="16" t="n">
        <x:f>COUNTIFS('Test Cases'!D6:D230,"Fail")</x:f>
        <x:v>0</x:v>
      </x:c>
      <x:c r="E7" s="2"/>
      <x:c r="F7" s="2"/>
      <x:c r="G7" s="2"/>
      <x:c r="H7" s="2"/>
    </x:row>
    <x:row r="8" ht="26" customHeight="1">
      <x:c r="A8" s="2" t="str">
        <x:v>Not Run</x:v>
      </x:c>
      <x:c r="B8" s="16" t="n">
        <x:f>COUNTIFS('Test Cases'!D6:D230,"Not Run")</x:f>
        <x:v>225</x:v>
      </x:c>
      <x:c r="C8" s="2" t="str">
        <x:v>External gates</x:v>
      </x:c>
      <x:c r="D8" s="16" t="n">
        <x:v>5</x:v>
      </x:c>
      <x:c r="E8" s="2"/>
      <x:c r="F8" s="2"/>
      <x:c r="G8" s="2"/>
      <x:c r="H8" s="2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34" customHeight="1">
      <x:c r="A10" s="9" t="str">
        <x:v>Coverage area</x:v>
      </x:c>
      <x:c r="B10" s="9" t="str">
        <x:v>Cases</x:v>
      </x:c>
      <x:c r="C10" s="9" t="str">
        <x:v>P0</x:v>
      </x:c>
      <x:c r="D10" s="9" t="str">
        <x:v>Passed</x:v>
      </x:c>
      <x:c r="E10" s="9" t="str">
        <x:v>Failed</x:v>
      </x:c>
      <x:c r="F10" s="9" t="str">
        <x:v>Other results</x:v>
      </x:c>
      <x:c r="G10" s="2"/>
      <x:c r="H10" s="2"/>
    </x:row>
    <x:row r="11" ht="25" customHeight="1">
      <x:c r="A11" s="2" t="str">
        <x:v>Login and sessions</x:v>
      </x:c>
      <x:c r="B11" s="2" t="n">
        <x:f>COUNTIFS('Test Cases'!$B$6:$B$230,$A11)</x:f>
        <x:v>11</x:v>
      </x:c>
      <x:c r="C11" s="2" t="n">
        <x:f>COUNTIFS('Test Cases'!$B$6:$B$230,$A11,'Test Cases'!$C$6:$C$230,"P0")</x:f>
        <x:v>8</x:v>
      </x:c>
      <x:c r="D11" s="2" t="n">
        <x:f>COUNTIFS('Test Cases'!$B$6:$B$230,$A11,'Test Cases'!$D$6:$D$230,"Pass")</x:f>
        <x:v>0</x:v>
      </x:c>
      <x:c r="E11" s="2" t="n">
        <x:f>COUNTIFS('Test Cases'!$B$6:$B$230,$A11,'Test Cases'!$D$6:$D$230,"Fail")</x:f>
        <x:v>0</x:v>
      </x:c>
      <x:c r="F11" s="2" t="n">
        <x:f>B11-SUM(D11:E11)</x:f>
        <x:v>11</x:v>
      </x:c>
      <x:c r="G11" s="2"/>
      <x:c r="H11" s="2"/>
    </x:row>
    <x:row r="12" ht="25" customHeight="1">
      <x:c r="A12" s="17" t="str">
        <x:v>2FA and trusted devices</x:v>
      </x:c>
      <x:c r="B12" s="17" t="n">
        <x:f>COUNTIFS('Test Cases'!$B$6:$B$230,$A12)</x:f>
        <x:v>8</x:v>
      </x:c>
      <x:c r="C12" s="17" t="n">
        <x:f>COUNTIFS('Test Cases'!$B$6:$B$230,$A12,'Test Cases'!$C$6:$C$230,"P0")</x:f>
        <x:v>6</x:v>
      </x:c>
      <x:c r="D12" s="17" t="n">
        <x:f>COUNTIFS('Test Cases'!$B$6:$B$230,$A12,'Test Cases'!$D$6:$D$230,"Pass")</x:f>
        <x:v>0</x:v>
      </x:c>
      <x:c r="E12" s="17" t="n">
        <x:f>COUNTIFS('Test Cases'!$B$6:$B$230,$A12,'Test Cases'!$D$6:$D$230,"Fail")</x:f>
        <x:v>0</x:v>
      </x:c>
      <x:c r="F12" s="17" t="n">
        <x:f>B12-SUM(D12:E12)</x:f>
        <x:v>8</x:v>
      </x:c>
      <x:c r="G12" s="2"/>
      <x:c r="H12" s="2"/>
    </x:row>
    <x:row r="13" ht="25" customHeight="1">
      <x:c r="A13" s="2" t="str">
        <x:v>Authorization and tenant isolation</x:v>
      </x:c>
      <x:c r="B13" s="2" t="n">
        <x:f>COUNTIFS('Test Cases'!$B$6:$B$230,$A13)</x:f>
        <x:v>14</x:v>
      </x:c>
      <x:c r="C13" s="2" t="n">
        <x:f>COUNTIFS('Test Cases'!$B$6:$B$230,$A13,'Test Cases'!$C$6:$C$230,"P0")</x:f>
        <x:v>13</x:v>
      </x:c>
      <x:c r="D13" s="2" t="n">
        <x:f>COUNTIFS('Test Cases'!$B$6:$B$230,$A13,'Test Cases'!$D$6:$D$230,"Pass")</x:f>
        <x:v>0</x:v>
      </x:c>
      <x:c r="E13" s="2" t="n">
        <x:f>COUNTIFS('Test Cases'!$B$6:$B$230,$A13,'Test Cases'!$D$6:$D$230,"Fail")</x:f>
        <x:v>0</x:v>
      </x:c>
      <x:c r="F13" s="2" t="n">
        <x:f>B13-SUM(D13:E13)</x:f>
        <x:v>14</x:v>
      </x:c>
      <x:c r="G13" s="2"/>
      <x:c r="H13" s="2"/>
    </x:row>
    <x:row r="14" ht="25" customHeight="1">
      <x:c r="A14" s="17" t="str">
        <x:v>Business registry and onboarding</x:v>
      </x:c>
      <x:c r="B14" s="17" t="n">
        <x:f>COUNTIFS('Test Cases'!$B$6:$B$230,$A14)</x:f>
        <x:v>12</x:v>
      </x:c>
      <x:c r="C14" s="17" t="n">
        <x:f>COUNTIFS('Test Cases'!$B$6:$B$230,$A14,'Test Cases'!$C$6:$C$230,"P0")</x:f>
        <x:v>5</x:v>
      </x:c>
      <x:c r="D14" s="17" t="n">
        <x:f>COUNTIFS('Test Cases'!$B$6:$B$230,$A14,'Test Cases'!$D$6:$D$230,"Pass")</x:f>
        <x:v>0</x:v>
      </x:c>
      <x:c r="E14" s="17" t="n">
        <x:f>COUNTIFS('Test Cases'!$B$6:$B$230,$A14,'Test Cases'!$D$6:$D$230,"Fail")</x:f>
        <x:v>0</x:v>
      </x:c>
      <x:c r="F14" s="17" t="n">
        <x:f>B14-SUM(D14:E14)</x:f>
        <x:v>12</x:v>
      </x:c>
      <x:c r="G14" s="2"/>
      <x:c r="H14" s="2"/>
    </x:row>
    <x:row r="15" ht="25" customHeight="1">
      <x:c r="A15" s="2" t="str">
        <x:v>Users, branches and terminals</x:v>
      </x:c>
      <x:c r="B15" s="2" t="n">
        <x:f>COUNTIFS('Test Cases'!$B$6:$B$230,$A15)</x:f>
        <x:v>8</x:v>
      </x:c>
      <x:c r="C15" s="2" t="n">
        <x:f>COUNTIFS('Test Cases'!$B$6:$B$230,$A15,'Test Cases'!$C$6:$C$230,"P0")</x:f>
        <x:v>6</x:v>
      </x:c>
      <x:c r="D15" s="2" t="n">
        <x:f>COUNTIFS('Test Cases'!$B$6:$B$230,$A15,'Test Cases'!$D$6:$D$230,"Pass")</x:f>
        <x:v>0</x:v>
      </x:c>
      <x:c r="E15" s="2" t="n">
        <x:f>COUNTIFS('Test Cases'!$B$6:$B$230,$A15,'Test Cases'!$D$6:$D$230,"Fail")</x:f>
        <x:v>0</x:v>
      </x:c>
      <x:c r="F15" s="2" t="n">
        <x:f>B15-SUM(D15:E15)</x:f>
        <x:v>8</x:v>
      </x:c>
      <x:c r="G15" s="2"/>
      <x:c r="H15" s="2"/>
    </x:row>
    <x:row r="16" ht="25" customHeight="1">
      <x:c r="A16" s="17" t="str">
        <x:v>Invoice lifecycle and numbering</x:v>
      </x:c>
      <x:c r="B16" s="17" t="n">
        <x:f>COUNTIFS('Test Cases'!$B$6:$B$230,$A16)</x:f>
        <x:v>12</x:v>
      </x:c>
      <x:c r="C16" s="17" t="n">
        <x:f>COUNTIFS('Test Cases'!$B$6:$B$230,$A16,'Test Cases'!$C$6:$C$230,"P0")</x:f>
        <x:v>9</x:v>
      </x:c>
      <x:c r="D16" s="17" t="n">
        <x:f>COUNTIFS('Test Cases'!$B$6:$B$230,$A16,'Test Cases'!$D$6:$D$230,"Pass")</x:f>
        <x:v>0</x:v>
      </x:c>
      <x:c r="E16" s="17" t="n">
        <x:f>COUNTIFS('Test Cases'!$B$6:$B$230,$A16,'Test Cases'!$D$6:$D$230,"Fail")</x:f>
        <x:v>0</x:v>
      </x:c>
      <x:c r="F16" s="17" t="n">
        <x:f>B16-SUM(D16:E16)</x:f>
        <x:v>12</x:v>
      </x:c>
      <x:c r="G16" s="2"/>
      <x:c r="H16" s="2"/>
    </x:row>
    <x:row r="17" ht="25" customHeight="1">
      <x:c r="A17" s="2" t="str">
        <x:v>Amounts, tax and discounts</x:v>
      </x:c>
      <x:c r="B17" s="2" t="n">
        <x:f>COUNTIFS('Test Cases'!$B$6:$B$230,$A17)</x:f>
        <x:v>14</x:v>
      </x:c>
      <x:c r="C17" s="2" t="n">
        <x:f>COUNTIFS('Test Cases'!$B$6:$B$230,$A17,'Test Cases'!$C$6:$C$230,"P0")</x:f>
        <x:v>13</x:v>
      </x:c>
      <x:c r="D17" s="2" t="n">
        <x:f>COUNTIFS('Test Cases'!$B$6:$B$230,$A17,'Test Cases'!$D$6:$D$230,"Pass")</x:f>
        <x:v>0</x:v>
      </x:c>
      <x:c r="E17" s="2" t="n">
        <x:f>COUNTIFS('Test Cases'!$B$6:$B$230,$A17,'Test Cases'!$D$6:$D$230,"Fail")</x:f>
        <x:v>0</x:v>
      </x:c>
      <x:c r="F17" s="2" t="n">
        <x:f>B17-SUM(D17:E17)</x:f>
        <x:v>14</x:v>
      </x:c>
      <x:c r="G17" s="2"/>
      <x:c r="H17" s="2"/>
    </x:row>
    <x:row r="18" ht="25" customHeight="1">
      <x:c r="A18" s="17" t="str">
        <x:v>E-receipts, PDFs and branding</x:v>
      </x:c>
      <x:c r="B18" s="17" t="n">
        <x:f>COUNTIFS('Test Cases'!$B$6:$B$230,$A18)</x:f>
        <x:v>10</x:v>
      </x:c>
      <x:c r="C18" s="17" t="n">
        <x:f>COUNTIFS('Test Cases'!$B$6:$B$230,$A18,'Test Cases'!$C$6:$C$230,"P0")</x:f>
        <x:v>4</x:v>
      </x:c>
      <x:c r="D18" s="17" t="n">
        <x:f>COUNTIFS('Test Cases'!$B$6:$B$230,$A18,'Test Cases'!$D$6:$D$230,"Pass")</x:f>
        <x:v>0</x:v>
      </x:c>
      <x:c r="E18" s="17" t="n">
        <x:f>COUNTIFS('Test Cases'!$B$6:$B$230,$A18,'Test Cases'!$D$6:$D$230,"Fail")</x:f>
        <x:v>0</x:v>
      </x:c>
      <x:c r="F18" s="17" t="n">
        <x:f>B18-SUM(D18:E18)</x:f>
        <x:v>10</x:v>
      </x:c>
      <x:c r="G18" s="2"/>
      <x:c r="H18" s="2"/>
    </x:row>
    <x:row r="19" ht="25" customHeight="1">
      <x:c r="A19" s="2" t="str">
        <x:v>ERP, POS and ecommerce intake</x:v>
      </x:c>
      <x:c r="B19" s="2" t="n">
        <x:f>COUNTIFS('Test Cases'!$B$6:$B$230,$A19)</x:f>
        <x:v>18</x:v>
      </x:c>
      <x:c r="C19" s="2" t="n">
        <x:f>COUNTIFS('Test Cases'!$B$6:$B$230,$A19,'Test Cases'!$C$6:$C$230,"P0")</x:f>
        <x:v>13</x:v>
      </x:c>
      <x:c r="D19" s="2" t="n">
        <x:f>COUNTIFS('Test Cases'!$B$6:$B$230,$A19,'Test Cases'!$D$6:$D$230,"Pass")</x:f>
        <x:v>0</x:v>
      </x:c>
      <x:c r="E19" s="2" t="n">
        <x:f>COUNTIFS('Test Cases'!$B$6:$B$230,$A19,'Test Cases'!$D$6:$D$230,"Fail")</x:f>
        <x:v>0</x:v>
      </x:c>
      <x:c r="F19" s="2" t="n">
        <x:f>B19-SUM(D19:E19)</x:f>
        <x:v>18</x:v>
      </x:c>
      <x:c r="G19" s="2"/>
      <x:c r="H19" s="2"/>
    </x:row>
    <x:row r="20" ht="25" customHeight="1">
      <x:c r="A20" s="17" t="str">
        <x:v>Customer email, notifications and webhooks</x:v>
      </x:c>
      <x:c r="B20" s="17" t="n">
        <x:f>COUNTIFS('Test Cases'!$B$6:$B$230,$A20)</x:f>
        <x:v>10</x:v>
      </x:c>
      <x:c r="C20" s="17" t="n">
        <x:f>COUNTIFS('Test Cases'!$B$6:$B$230,$A20,'Test Cases'!$C$6:$C$230,"P0")</x:f>
        <x:v>6</x:v>
      </x:c>
      <x:c r="D20" s="17" t="n">
        <x:f>COUNTIFS('Test Cases'!$B$6:$B$230,$A20,'Test Cases'!$D$6:$D$230,"Pass")</x:f>
        <x:v>0</x:v>
      </x:c>
      <x:c r="E20" s="17" t="n">
        <x:f>COUNTIFS('Test Cases'!$B$6:$B$230,$A20,'Test Cases'!$D$6:$D$230,"Fail")</x:f>
        <x:v>0</x:v>
      </x:c>
      <x:c r="F20" s="17" t="n">
        <x:f>B20-SUM(D20:E20)</x:f>
        <x:v>10</x:v>
      </x:c>
      <x:c r="G20" s="2"/>
      <x:c r="H20" s="2"/>
    </x:row>
    <x:row r="21" ht="25" customHeight="1">
      <x:c r="A21" s="2" t="str">
        <x:v>Wallet, deposits and pricing</x:v>
      </x:c>
      <x:c r="B21" s="2" t="n">
        <x:f>COUNTIFS('Test Cases'!$B$6:$B$230,$A21)</x:f>
        <x:v>14</x:v>
      </x:c>
      <x:c r="C21" s="2" t="n">
        <x:f>COUNTIFS('Test Cases'!$B$6:$B$230,$A21,'Test Cases'!$C$6:$C$230,"P0")</x:f>
        <x:v>10</x:v>
      </x:c>
      <x:c r="D21" s="2" t="n">
        <x:f>COUNTIFS('Test Cases'!$B$6:$B$230,$A21,'Test Cases'!$D$6:$D$230,"Pass")</x:f>
        <x:v>0</x:v>
      </x:c>
      <x:c r="E21" s="2" t="n">
        <x:f>COUNTIFS('Test Cases'!$B$6:$B$230,$A21,'Test Cases'!$D$6:$D$230,"Fail")</x:f>
        <x:v>0</x:v>
      </x:c>
      <x:c r="F21" s="2" t="n">
        <x:f>B21-SUM(D21:E21)</x:f>
        <x:v>14</x:v>
      </x:c>
      <x:c r="G21" s="2"/>
      <x:c r="H21" s="2"/>
    </x:row>
    <x:row r="22" ht="25" customHeight="1">
      <x:c r="A22" s="17" t="str">
        <x:v>Dashboards and live monitoring</x:v>
      </x:c>
      <x:c r="B22" s="17" t="n">
        <x:f>COUNTIFS('Test Cases'!$B$6:$B$230,$A22)</x:f>
        <x:v>9</x:v>
      </x:c>
      <x:c r="C22" s="17" t="n">
        <x:f>COUNTIFS('Test Cases'!$B$6:$B$230,$A22,'Test Cases'!$C$6:$C$230,"P0")</x:f>
        <x:v>2</x:v>
      </x:c>
      <x:c r="D22" s="17" t="n">
        <x:f>COUNTIFS('Test Cases'!$B$6:$B$230,$A22,'Test Cases'!$D$6:$D$230,"Pass")</x:f>
        <x:v>0</x:v>
      </x:c>
      <x:c r="E22" s="17" t="n">
        <x:f>COUNTIFS('Test Cases'!$B$6:$B$230,$A22,'Test Cases'!$D$6:$D$230,"Fail")</x:f>
        <x:v>0</x:v>
      </x:c>
      <x:c r="F22" s="17" t="n">
        <x:f>B22-SUM(D22:E22)</x:f>
        <x:v>9</x:v>
      </x:c>
      <x:c r="G22" s="2"/>
      <x:c r="H22" s="2"/>
    </x:row>
    <x:row r="23" ht="25" customHeight="1">
      <x:c r="A23" s="2" t="str">
        <x:v>Tables, filters and record actions</x:v>
      </x:c>
      <x:c r="B23" s="2" t="n">
        <x:f>COUNTIFS('Test Cases'!$B$6:$B$230,$A23)</x:f>
        <x:v>8</x:v>
      </x:c>
      <x:c r="C23" s="2" t="n">
        <x:f>COUNTIFS('Test Cases'!$B$6:$B$230,$A23,'Test Cases'!$C$6:$C$230,"P0")</x:f>
        <x:v>0</x:v>
      </x:c>
      <x:c r="D23" s="2" t="n">
        <x:f>COUNTIFS('Test Cases'!$B$6:$B$230,$A23,'Test Cases'!$D$6:$D$230,"Pass")</x:f>
        <x:v>0</x:v>
      </x:c>
      <x:c r="E23" s="2" t="n">
        <x:f>COUNTIFS('Test Cases'!$B$6:$B$230,$A23,'Test Cases'!$D$6:$D$230,"Fail")</x:f>
        <x:v>0</x:v>
      </x:c>
      <x:c r="F23" s="2" t="n">
        <x:f>B23-SUM(D23:E23)</x:f>
        <x:v>8</x:v>
      </x:c>
      <x:c r="G23" s="2"/>
      <x:c r="H23" s="2"/>
    </x:row>
    <x:row r="24" ht="25" customHeight="1">
      <x:c r="A24" s="17" t="str">
        <x:v>Reports and PDF/CSV exports</x:v>
      </x:c>
      <x:c r="B24" s="17" t="n">
        <x:f>COUNTIFS('Test Cases'!$B$6:$B$230,$A24)</x:f>
        <x:v>12</x:v>
      </x:c>
      <x:c r="C24" s="17" t="n">
        <x:f>COUNTIFS('Test Cases'!$B$6:$B$230,$A24,'Test Cases'!$C$6:$C$230,"P0")</x:f>
        <x:v>7</x:v>
      </x:c>
      <x:c r="D24" s="17" t="n">
        <x:f>COUNTIFS('Test Cases'!$B$6:$B$230,$A24,'Test Cases'!$D$6:$D$230,"Pass")</x:f>
        <x:v>0</x:v>
      </x:c>
      <x:c r="E24" s="17" t="n">
        <x:f>COUNTIFS('Test Cases'!$B$6:$B$230,$A24,'Test Cases'!$D$6:$D$230,"Fail")</x:f>
        <x:v>0</x:v>
      </x:c>
      <x:c r="F24" s="17" t="n">
        <x:f>B24-SUM(D24:E24)</x:f>
        <x:v>12</x:v>
      </x:c>
      <x:c r="G24" s="2"/>
      <x:c r="H24" s="2"/>
    </x:row>
    <x:row r="25" ht="25" customHeight="1">
      <x:c r="A25" s="2" t="str">
        <x:v>Compliance operations and evidence</x:v>
      </x:c>
      <x:c r="B25" s="2" t="n">
        <x:f>COUNTIFS('Test Cases'!$B$6:$B$230,$A25)</x:f>
        <x:v>11</x:v>
      </x:c>
      <x:c r="C25" s="2" t="n">
        <x:f>COUNTIFS('Test Cases'!$B$6:$B$230,$A25,'Test Cases'!$C$6:$C$230,"P0")</x:f>
        <x:v>10</x:v>
      </x:c>
      <x:c r="D25" s="2" t="n">
        <x:f>COUNTIFS('Test Cases'!$B$6:$B$230,$A25,'Test Cases'!$D$6:$D$230,"Pass")</x:f>
        <x:v>0</x:v>
      </x:c>
      <x:c r="E25" s="2" t="n">
        <x:f>COUNTIFS('Test Cases'!$B$6:$B$230,$A25,'Test Cases'!$D$6:$D$230,"Fail")</x:f>
        <x:v>0</x:v>
      </x:c>
      <x:c r="F25" s="2" t="n">
        <x:f>B25-SUM(D25:E25)</x:f>
        <x:v>11</x:v>
      </x:c>
      <x:c r="G25" s="2"/>
      <x:c r="H25" s="2"/>
    </x:row>
    <x:row r="26" ht="25" customHeight="1">
      <x:c r="A26" s="17" t="str">
        <x:v>BIR EIS preparation and adapter</x:v>
      </x:c>
      <x:c r="B26" s="17" t="n">
        <x:f>COUNTIFS('Test Cases'!$B$6:$B$230,$A26)</x:f>
        <x:v>13</x:v>
      </x:c>
      <x:c r="C26" s="17" t="n">
        <x:f>COUNTIFS('Test Cases'!$B$6:$B$230,$A26,'Test Cases'!$C$6:$C$230,"P0")</x:f>
        <x:v>13</x:v>
      </x:c>
      <x:c r="D26" s="17" t="n">
        <x:f>COUNTIFS('Test Cases'!$B$6:$B$230,$A26,'Test Cases'!$D$6:$D$230,"Pass")</x:f>
        <x:v>0</x:v>
      </x:c>
      <x:c r="E26" s="17" t="n">
        <x:f>COUNTIFS('Test Cases'!$B$6:$B$230,$A26,'Test Cases'!$D$6:$D$230,"Fail")</x:f>
        <x:v>0</x:v>
      </x:c>
      <x:c r="F26" s="17" t="n">
        <x:f>B26-SUM(D26:E26)</x:f>
        <x:v>13</x:v>
      </x:c>
      <x:c r="G26" s="2"/>
      <x:c r="H26" s="2"/>
    </x:row>
    <x:row r="27" ht="25" customHeight="1">
      <x:c r="A27" s="2" t="str">
        <x:v>Server management and recovery</x:v>
      </x:c>
      <x:c r="B27" s="2" t="n">
        <x:f>COUNTIFS('Test Cases'!$B$6:$B$230,$A27)</x:f>
        <x:v>13</x:v>
      </x:c>
      <x:c r="C27" s="2" t="n">
        <x:f>COUNTIFS('Test Cases'!$B$6:$B$230,$A27,'Test Cases'!$C$6:$C$230,"P0")</x:f>
        <x:v>9</x:v>
      </x:c>
      <x:c r="D27" s="2" t="n">
        <x:f>COUNTIFS('Test Cases'!$B$6:$B$230,$A27,'Test Cases'!$D$6:$D$230,"Pass")</x:f>
        <x:v>0</x:v>
      </x:c>
      <x:c r="E27" s="2" t="n">
        <x:f>COUNTIFS('Test Cases'!$B$6:$B$230,$A27,'Test Cases'!$D$6:$D$230,"Fail")</x:f>
        <x:v>0</x:v>
      </x:c>
      <x:c r="F27" s="2" t="n">
        <x:f>B27-SUM(D27:E27)</x:f>
        <x:v>13</x:v>
      </x:c>
      <x:c r="G27" s="2"/>
      <x:c r="H27" s="2"/>
    </x:row>
    <x:row r="28" ht="25" customHeight="1">
      <x:c r="A28" s="17" t="str">
        <x:v>Scale, resilience and realtime load</x:v>
      </x:c>
      <x:c r="B28" s="17" t="n">
        <x:f>COUNTIFS('Test Cases'!$B$6:$B$230,$A28)</x:f>
        <x:v>12</x:v>
      </x:c>
      <x:c r="C28" s="17" t="n">
        <x:f>COUNTIFS('Test Cases'!$B$6:$B$230,$A28,'Test Cases'!$C$6:$C$230,"P0")</x:f>
        <x:v>7</x:v>
      </x:c>
      <x:c r="D28" s="17" t="n">
        <x:f>COUNTIFS('Test Cases'!$B$6:$B$230,$A28,'Test Cases'!$D$6:$D$230,"Pass")</x:f>
        <x:v>0</x:v>
      </x:c>
      <x:c r="E28" s="17" t="n">
        <x:f>COUNTIFS('Test Cases'!$B$6:$B$230,$A28,'Test Cases'!$D$6:$D$230,"Fail")</x:f>
        <x:v>0</x:v>
      </x:c>
      <x:c r="F28" s="17" t="n">
        <x:f>B28-SUM(D28:E28)</x:f>
        <x:v>12</x:v>
      </x:c>
      <x:c r="G28" s="2"/>
      <x:c r="H28" s="2"/>
    </x:row>
    <x:row r="29" ht="25" customHeight="1">
      <x:c r="A29" s="2" t="str">
        <x:v>Common checks for every page</x:v>
      </x:c>
      <x:c r="B29" s="2" t="n">
        <x:f>COUNTIFS('Test Cases'!$B$6:$B$230,$A29)</x:f>
        <x:v>8</x:v>
      </x:c>
      <x:c r="C29" s="2" t="n">
        <x:f>COUNTIFS('Test Cases'!$B$6:$B$230,$A29,'Test Cases'!$C$6:$C$230,"P0")</x:f>
        <x:v>1</x:v>
      </x:c>
      <x:c r="D29" s="2" t="n">
        <x:f>COUNTIFS('Test Cases'!$B$6:$B$230,$A29,'Test Cases'!$D$6:$D$230,"Pass")</x:f>
        <x:v>0</x:v>
      </x:c>
      <x:c r="E29" s="2" t="n">
        <x:f>COUNTIFS('Test Cases'!$B$6:$B$230,$A29,'Test Cases'!$D$6:$D$230,"Fail")</x:f>
        <x:v>0</x:v>
      </x:c>
      <x:c r="F29" s="2" t="n">
        <x:f>B29-SUM(D29:E29)</x:f>
        <x:v>8</x:v>
      </x:c>
      <x:c r="G29" s="2"/>
      <x:c r="H29" s="2"/>
    </x:row>
    <x:row r="30" ht="25" customHeight="1">
      <x:c r="A30" s="17" t="str">
        <x:v>Customers, support and additional portals</x:v>
      </x:c>
      <x:c r="B30" s="17" t="n">
        <x:f>COUNTIFS('Test Cases'!$B$6:$B$230,$A30)</x:f>
        <x:v>8</x:v>
      </x:c>
      <x:c r="C30" s="17" t="n">
        <x:f>COUNTIFS('Test Cases'!$B$6:$B$230,$A30,'Test Cases'!$C$6:$C$230,"P0")</x:f>
        <x:v>3</x:v>
      </x:c>
      <x:c r="D30" s="17" t="n">
        <x:f>COUNTIFS('Test Cases'!$B$6:$B$230,$A30,'Test Cases'!$D$6:$D$230,"Pass")</x:f>
        <x:v>0</x:v>
      </x:c>
      <x:c r="E30" s="17" t="n">
        <x:f>COUNTIFS('Test Cases'!$B$6:$B$230,$A30,'Test Cases'!$D$6:$D$230,"Fail")</x:f>
        <x:v>0</x:v>
      </x:c>
      <x:c r="F30" s="17" t="n">
        <x:f>B30-SUM(D30:E30)</x:f>
        <x:v>8</x:v>
      </x:c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23" customHeight="1">
      <x:c r="A33" s="16" t="str">
        <x:v>START HERE</x:v>
      </x:c>
      <x:c r="B33" s="2"/>
      <x:c r="C33" s="2"/>
      <x:c r="D33" s="2"/>
      <x:c r="E33" s="2"/>
      <x:c r="F33" s="2"/>
      <x:c r="G33" s="2"/>
      <x:c r="H33" s="2"/>
    </x:row>
    <x:row r="34" ht="26" customHeight="1">
      <x:c r="A34" s="20" t="str">
        <x:v>All results start Not Run. This workbook is a test plan, not a completed audit.</x:v>
      </x:c>
      <x:c r="B34" s="21"/>
      <x:c r="C34" s="5"/>
      <x:c r="D34" s="5"/>
      <x:c r="E34" s="5"/>
      <x:c r="F34" s="5"/>
      <x:c r="G34" s="5"/>
      <x:c r="H34" s="5"/>
    </x:row>
    <x:row r="35" ht="26" customHeight="1">
      <x:c r="A35" s="20" t="str">
        <x:v>Use Test Cases for steps/results; Page Inventory for every route; Test Data for fixtures and execution guide.</x:v>
      </x:c>
      <x:c r="B35" s="21"/>
      <x:c r="C35" s="5"/>
      <x:c r="D35" s="5"/>
      <x:c r="E35" s="5"/>
      <x:c r="F35" s="5"/>
      <x:c r="G35" s="5"/>
      <x:c r="H35" s="5"/>
    </x:row>
    <x:row r="36" ht="26" customHeight="1">
      <x:c r="A36" s="20" t="str">
        <x:v>P0 = security/financial/release-critical. P1 = core functional/operational. Run P0 first.</x:v>
      </x:c>
      <x:c r="B36" s="21"/>
      <x:c r="C36" s="5"/>
      <x:c r="D36" s="5"/>
      <x:c r="E36" s="5"/>
      <x:c r="F36" s="5"/>
      <x:c r="G36" s="5"/>
      <x:c r="H36" s="5"/>
    </x:row>
    <x:row r="37" ht="26" customHeight="1">
      <x:c r="A37" s="20" t="str">
        <x:v>BIR and infrastructure cases marked as required dependencies remain gated until provisioned.</x:v>
      </x:c>
      <x:c r="B37" s="21"/>
      <x:c r="C37" s="5"/>
      <x:c r="D37" s="5"/>
      <x:c r="E37" s="5"/>
      <x:c r="F37" s="5"/>
      <x:c r="G37" s="5"/>
      <x:c r="H37" s="5"/>
    </x:row>
    <x:row r="38" ht="26" customHeight="1">
      <x:c r="A38" s="20" t="str">
        <x:v>Enter the exact build, environment, tester, time, actual result and evidence for each executed case.</x:v>
      </x:c>
      <x:c r="B38" s="21"/>
      <x:c r="C38" s="5"/>
      <x:c r="D38" s="5"/>
      <x:c r="E38" s="5"/>
      <x:c r="F38" s="5"/>
      <x:c r="G38" s="5"/>
      <x:c r="H38" s="5"/>
    </x:row>
    <x:row r="39" ht="26" customHeight="1">
      <x:c r="A39" s="20" t="str">
        <x:v>Exit: in-scope P0/P1 passed; no open critical/high defects; retests complete; exceptions approved.</x:v>
      </x:c>
      <x:c r="B39" s="21"/>
      <x:c r="C39" s="5"/>
      <x:c r="D39" s="5"/>
      <x:c r="E39" s="5"/>
      <x:c r="F39" s="5"/>
      <x:c r="G39" s="5"/>
      <x:c r="H39" s="5"/>
    </x:row>
    <x:row r="40" ht="26" customHeight="1">
      <x:c r="A40" s="16"/>
      <x:c r="B40" s="18"/>
      <x:c r="C40" s="2"/>
      <x:c r="D40" s="2"/>
      <x:c r="E40" s="2"/>
      <x:c r="F40" s="2"/>
      <x:c r="G40" s="2"/>
      <x:c r="H40" s="2"/>
    </x:row>
    <x:row r="41" ht="26" customHeight="1">
      <x:c r="A41" s="16"/>
      <x:c r="B41" s="18"/>
      <x:c r="C41" s="2"/>
      <x:c r="D41" s="2"/>
      <x:c r="E41" s="2"/>
      <x:c r="F41" s="2"/>
      <x:c r="G41" s="2"/>
      <x:c r="H41" s="2"/>
    </x:row>
    <x:row r="42" ht="26" customHeight="1">
      <x:c r="A42" s="16" t="str">
        <x:v>QA lead: __________________  Release/build: __________________  Environment: __________________</x:v>
      </x:c>
      <x:c r="B42" s="18"/>
      <x:c r="C42" s="2"/>
      <x:c r="D42" s="2"/>
      <x:c r="E42" s="2"/>
      <x:c r="F42" s="2"/>
      <x:c r="G42" s="2"/>
      <x:c r="H42" s="2"/>
    </x:row>
    <x:row r="43" ht="26" customHeight="1">
      <x:c r="A43" s="16"/>
      <x:c r="B43" s="18"/>
      <x:c r="C43" s="2"/>
      <x:c r="D43" s="2"/>
      <x:c r="E43" s="2"/>
      <x:c r="F43" s="2"/>
      <x:c r="G43" s="2"/>
      <x:c r="H43" s="2"/>
    </x:row>
    <x:row r="44" ht="26" customHeight="1">
      <x:c r="A44" s="16" t="str">
        <x:v>Sign-off and approved exceptions: ______________________________________________________________________</x:v>
      </x:c>
      <x:c r="B44" s="18"/>
      <x:c r="C44" s="2"/>
      <x:c r="D44" s="2"/>
      <x:c r="E44" s="2"/>
      <x:c r="F44" s="2"/>
      <x:c r="G44" s="2"/>
      <x:c r="H44" s="2"/>
    </x:row>
    <x:row r="45" ht="26" customHeight="1">
      <x:c r="A45" s="16"/>
      <x:c r="B45" s="18"/>
      <x:c r="C45" s="2"/>
      <x:c r="D45" s="2"/>
      <x:c r="E45" s="2"/>
      <x:c r="F45" s="2"/>
      <x:c r="G45" s="2"/>
      <x:c r="H45" s="2"/>
    </x:row>
    <x:row r="46" ht="26" customHeight="1">
      <x:c r="A46" s="16"/>
      <x:c r="B46" s="18"/>
      <x:c r="C46" s="2"/>
      <x:c r="D46" s="2"/>
      <x:c r="E46" s="2"/>
      <x:c r="F46" s="2"/>
      <x:c r="G46" s="2"/>
      <x:c r="H46" s="2"/>
    </x:row>
    <x:row r="47" ht="26" customHeight="1">
      <x:c r="A47" s="16"/>
      <x:c r="B47" s="18"/>
      <x:c r="C47" s="2"/>
      <x:c r="D47" s="2"/>
      <x:c r="E47" s="2"/>
      <x:c r="F47" s="2"/>
      <x:c r="G47" s="2"/>
      <x:c r="H47" s="2"/>
    </x:row>
    <x:row r="48" ht="26" customHeight="1">
      <x:c r="A48" s="16"/>
      <x:c r="B48" s="18"/>
      <x:c r="C48" s="2"/>
      <x:c r="D48" s="2"/>
      <x:c r="E48" s="2"/>
      <x:c r="F48" s="2"/>
      <x:c r="G48" s="2"/>
      <x:c r="H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</x:row>
  </x:sheetData>
  <x:pageMargins left="0.7" right="0.7" top="0.75" bottom="0.75" header="0.3" footer="0.3"/>
  <x:drawing xmlns:r="http://schemas.openxmlformats.org/officeDocument/2006/relationships" r:id="Ra35bfb02a66b4e0a"/>
</x:worksheet>
</file>

<file path=xl/worksheets/sheet2.xml><?xml version="1.0" encoding="utf-8"?>
<x:worksheet xmlns:x="http://schemas.openxmlformats.org/spreadsheetml/2006/main">
  <x:sheetPr>
    <x:tabColor rgb="FF005BD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1" hidden="0" customWidth="1"/>
    <x:col min="4" max="4" width="15" hidden="0" customWidth="1"/>
    <x:col min="5" max="5" width="36" hidden="0" customWidth="1"/>
    <x:col min="6" max="6" width="66" hidden="0" customWidth="1"/>
    <x:col min="7" max="7" width="72" hidden="0" customWidth="1"/>
    <x:col min="8" max="8" width="20" hidden="0" customWidth="1"/>
    <x:col min="9" max="9" width="28" hidden="0" customWidth="1"/>
    <x:col min="10" max="10" width="27" hidden="0" customWidth="1"/>
    <x:col min="11" max="11" width="60" hidden="0" customWidth="1"/>
    <x:col min="12" max="12" width="40" hidden="0" customWidth="1"/>
    <x:col min="13" max="13" width="18" hidden="0" customWidth="1"/>
    <x:col min="14" max="14" width="20" hidden="0" customWidth="1"/>
    <x:col min="15" max="15" width="23" hidden="0" customWidth="1"/>
    <x:col min="16" max="16" width="26" hidden="0" customWidth="1"/>
    <x:col min="17" max="17" width="2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9" customHeight="1">
      <x:c r="A2" s="4" t="str">
        <x:v>NUERS QA TEST CASES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4" customHeight="1">
      <x:c r="A3" s="5" t="str">
        <x:v>225 scenarios. Each parameterized variant needs evidence. Enter execution results in the amber cells.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8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4" customHeight="1">
      <x:c r="A5" s="9" t="str">
        <x:v>Test ID</x:v>
      </x:c>
      <x:c r="B5" s="9" t="str">
        <x:v>Area</x:v>
      </x:c>
      <x:c r="C5" s="9" t="str">
        <x:v>Priority</x:v>
      </x:c>
      <x:c r="D5" s="9" t="str">
        <x:v>Result</x:v>
      </x:c>
      <x:c r="E5" s="9" t="str">
        <x:v>Scenario</x:v>
      </x:c>
      <x:c r="F5" s="9" t="str">
        <x:v>Steps</x:v>
      </x:c>
      <x:c r="G5" s="9" t="str">
        <x:v>Expected result</x:v>
      </x:c>
      <x:c r="H5" s="9" t="str">
        <x:v>Test data</x:v>
      </x:c>
      <x:c r="I5" s="9" t="str">
        <x:v>Test role</x:v>
      </x:c>
      <x:c r="J5" s="9" t="str">
        <x:v>Execution phase</x:v>
      </x:c>
      <x:c r="K5" s="9" t="str">
        <x:v>Actual result</x:v>
      </x:c>
      <x:c r="L5" s="9" t="str">
        <x:v>Evidence / attachment link</x:v>
      </x:c>
      <x:c r="M5" s="9" t="str">
        <x:v>Defect ID</x:v>
      </x:c>
      <x:c r="N5" s="9" t="str">
        <x:v>Tester</x:v>
      </x:c>
      <x:c r="O5" s="9" t="str">
        <x:v>Tested on (PHT)</x:v>
      </x:c>
      <x:c r="P5" s="9" t="str">
        <x:v>Release / build</x:v>
      </x:c>
      <x:c r="Q5" s="9" t="str">
        <x:v>Environment</x:v>
      </x:c>
    </x:row>
    <x:row r="6" ht="70" customHeight="1">
      <x:c r="A6" s="11" t="str">
        <x:v>AUTH-001</x:v>
      </x:c>
      <x:c r="B6" s="11" t="str">
        <x:v>Login and sessions</x:v>
      </x:c>
      <x:c r="C6" s="11" t="str">
        <x:v>P0</x:v>
      </x:c>
      <x:c r="D6" s="13" t="str">
        <x:v>Not Run</x:v>
      </x:c>
      <x:c r="E6" s="11" t="str">
        <x:v>Valid sign-in and correct portal</x:v>
      </x:c>
      <x:c r="F6" s="11" t="str">
        <x:v>Sign in separately as Super Admin, Admin, Merchant A, Merchant B and restricted staff. Open their default portal.</x:v>
      </x:c>
      <x:c r="G6" s="11" t="str">
        <x:v>Each account opens its permitted portal with the correct identity. No other account data appears.</x:v>
      </x:c>
      <x:c r="H6" s="11" t="str">
        <x:v>D01, D02</x:v>
      </x:c>
      <x:c r="I6" s="11" t="str">
        <x:v>All roles</x:v>
      </x:c>
      <x:c r="J6" s="11" t="str">
        <x:v>Staging</x:v>
      </x:c>
      <x:c r="K6" s="14" t="str"/>
      <x:c r="L6" s="14" t="str"/>
      <x:c r="M6" s="14" t="str"/>
      <x:c r="N6" s="14" t="str"/>
      <x:c r="O6" s="15" t="str"/>
      <x:c r="P6" s="14" t="str"/>
      <x:c r="Q6" s="14" t="str"/>
    </x:row>
    <x:row r="7" ht="70" customHeight="1">
      <x:c r="A7" s="12" t="str">
        <x:v>AUTH-002</x:v>
      </x:c>
      <x:c r="B7" s="12" t="str">
        <x:v>Login and sessions</x:v>
      </x:c>
      <x:c r="C7" s="12" t="str">
        <x:v>P0</x:v>
      </x:c>
      <x:c r="D7" s="13" t="str">
        <x:v>Not Run</x:v>
      </x:c>
      <x:c r="E7" s="12" t="str">
        <x:v>Invalid password and inactive account</x:v>
      </x:c>
      <x:c r="F7" s="12" t="str">
        <x:v>Try incorrect credentials, suspended accounts and accounts without an assigned role.</x:v>
      </x:c>
      <x:c r="G7" s="12" t="str">
        <x:v>Access is denied with a safe message. No session or privilege is granted.</x:v>
      </x:c>
      <x:c r="H7" s="12" t="str">
        <x:v>D01, D02</x:v>
      </x:c>
      <x:c r="I7" s="12" t="str">
        <x:v>All roles</x:v>
      </x:c>
      <x:c r="J7" s="12" t="str">
        <x:v>Staging</x:v>
      </x:c>
      <x:c r="K7" s="14" t="str"/>
      <x:c r="L7" s="14" t="str"/>
      <x:c r="M7" s="14" t="str"/>
      <x:c r="N7" s="14" t="str"/>
      <x:c r="O7" s="15" t="str"/>
      <x:c r="P7" s="14" t="str"/>
      <x:c r="Q7" s="14" t="str"/>
    </x:row>
    <x:row r="8" ht="70" customHeight="1">
      <x:c r="A8" s="11" t="str">
        <x:v>AUTH-003</x:v>
      </x:c>
      <x:c r="B8" s="11" t="str">
        <x:v>Login and sessions</x:v>
      </x:c>
      <x:c r="C8" s="11" t="str">
        <x:v>P0</x:v>
      </x:c>
      <x:c r="D8" s="13" t="str">
        <x:v>Not Run</x:v>
      </x:c>
      <x:c r="E8" s="11" t="str">
        <x:v>Registered Google account</x:v>
      </x:c>
      <x:c r="F8" s="11" t="str">
        <x:v>Use the controlled Google account already linked to a registered NUERS email. Complete the normal login flow.</x:v>
      </x:c>
      <x:c r="G8" s="11" t="str">
        <x:v>Login preserves the existing user, role and merchant. No duplicate account is created.</x:v>
      </x:c>
      <x:c r="H8" s="11" t="str">
        <x:v>D01, D02</x:v>
      </x:c>
      <x:c r="I8" s="11" t="str">
        <x:v>All roles</x:v>
      </x:c>
      <x:c r="J8" s="11" t="str">
        <x:v>Staging</x:v>
      </x:c>
      <x:c r="K8" s="14" t="str"/>
      <x:c r="L8" s="14" t="str"/>
      <x:c r="M8" s="14" t="str"/>
      <x:c r="N8" s="14" t="str"/>
      <x:c r="O8" s="15" t="str"/>
      <x:c r="P8" s="14" t="str"/>
      <x:c r="Q8" s="14" t="str"/>
    </x:row>
    <x:row r="9" ht="70" customHeight="1">
      <x:c r="A9" s="12" t="str">
        <x:v>AUTH-004</x:v>
      </x:c>
      <x:c r="B9" s="12" t="str">
        <x:v>Login and sessions</x:v>
      </x:c>
      <x:c r="C9" s="12" t="str">
        <x:v>P0</x:v>
      </x:c>
      <x:c r="D9" s="13" t="str">
        <x:v>Not Run</x:v>
      </x:c>
      <x:c r="E9" s="12" t="str">
        <x:v>Unknown Google account</x:v>
      </x:c>
      <x:c r="F9" s="12" t="str">
        <x:v>Use a controlled Google email that is absent from the NUERS database.</x:v>
      </x:c>
      <x:c r="G9" s="12" t="str">
        <x:v>Login is rejected. No NUERS account is created automatically.</x:v>
      </x:c>
      <x:c r="H9" s="12" t="str">
        <x:v>D01, D02</x:v>
      </x:c>
      <x:c r="I9" s="12" t="str">
        <x:v>All roles</x:v>
      </x:c>
      <x:c r="J9" s="12" t="str">
        <x:v>Staging</x:v>
      </x:c>
      <x:c r="K9" s="14" t="str"/>
      <x:c r="L9" s="14" t="str"/>
      <x:c r="M9" s="14" t="str"/>
      <x:c r="N9" s="14" t="str"/>
      <x:c r="O9" s="15" t="str"/>
      <x:c r="P9" s="14" t="str"/>
      <x:c r="Q9" s="14" t="str"/>
    </x:row>
    <x:row r="10" ht="70" customHeight="1">
      <x:c r="A10" s="11" t="str">
        <x:v>AUTH-005</x:v>
      </x:c>
      <x:c r="B10" s="11" t="str">
        <x:v>Login and sessions</x:v>
      </x:c>
      <x:c r="C10" s="11" t="str">
        <x:v>P0</x:v>
      </x:c>
      <x:c r="D10" s="13" t="str">
        <x:v>Not Run</x:v>
      </x:c>
      <x:c r="E10" s="11" t="str">
        <x:v>OAuth integrity and replay</x:v>
      </x:c>
      <x:c r="F10" s="11" t="str">
        <x:v>In isolated tests, use an invalid state, expired handoff, reused handoff and mismatched Google subject.</x:v>
      </x:c>
      <x:c r="G10" s="11" t="str">
        <x:v>Each attempt fails. An existing identity cannot be replaced or reassigned.</x:v>
      </x:c>
      <x:c r="H10" s="11" t="str">
        <x:v>D01, D02</x:v>
      </x:c>
      <x:c r="I10" s="11" t="str">
        <x:v>All roles</x:v>
      </x:c>
      <x:c r="J10" s="11" t="str">
        <x:v>Isolated lab</x:v>
      </x:c>
      <x:c r="K10" s="14" t="str"/>
      <x:c r="L10" s="14" t="str"/>
      <x:c r="M10" s="14" t="str"/>
      <x:c r="N10" s="14" t="str"/>
      <x:c r="O10" s="15" t="str"/>
      <x:c r="P10" s="14" t="str"/>
      <x:c r="Q10" s="14" t="str"/>
    </x:row>
    <x:row r="11" ht="70" customHeight="1">
      <x:c r="A11" s="12" t="str">
        <x:v>AUTH-006</x:v>
      </x:c>
      <x:c r="B11" s="12" t="str">
        <x:v>Login and sessions</x:v>
      </x:c>
      <x:c r="C11" s="12" t="str">
        <x:v>P1</x:v>
      </x:c>
      <x:c r="D11" s="13" t="str">
        <x:v>Not Run</x:v>
      </x:c>
      <x:c r="E11" s="12" t="str">
        <x:v>Refresh, deep link and browser restart</x:v>
      </x:c>
      <x:c r="F11" s="12" t="str">
        <x:v>Sign in, reload a protected detail URL, open a second tab and restart the browser within the permitted session lifetime.</x:v>
      </x:c>
      <x:c r="G11" s="12" t="str">
        <x:v>Session behavior follows the configured policy. No infinite loading, role switch or lost authorized destination.</x:v>
      </x:c>
      <x:c r="H11" s="12" t="str">
        <x:v>D01, D02</x:v>
      </x:c>
      <x:c r="I11" s="12" t="str">
        <x:v>All roles</x:v>
      </x:c>
      <x:c r="J11" s="12" t="str">
        <x:v>Staging</x:v>
      </x:c>
      <x:c r="K11" s="14" t="str"/>
      <x:c r="L11" s="14" t="str"/>
      <x:c r="M11" s="14" t="str"/>
      <x:c r="N11" s="14" t="str"/>
      <x:c r="O11" s="15" t="str"/>
      <x:c r="P11" s="14" t="str"/>
      <x:c r="Q11" s="14" t="str"/>
    </x:row>
    <x:row r="12" ht="70" customHeight="1">
      <x:c r="A12" s="11" t="str">
        <x:v>AUTH-007</x:v>
      </x:c>
      <x:c r="B12" s="11" t="str">
        <x:v>Login and sessions</x:v>
      </x:c>
      <x:c r="C12" s="11" t="str">
        <x:v>P0</x:v>
      </x:c>
      <x:c r="D12" s="13" t="str">
        <x:v>Not Run</x:v>
      </x:c>
      <x:c r="E12" s="11" t="str">
        <x:v>Logout and revoked session</x:v>
      </x:c>
      <x:c r="F12" s="11" t="str">
        <x:v>Log out, use browser Back, and repeat an authenticated request with the old session. Repeat after admin revocation.</x:v>
      </x:c>
      <x:c r="G12" s="11" t="str">
        <x:v>Protected data and mutations are denied after revocation. Cached sensitive data is not exposed.</x:v>
      </x:c>
      <x:c r="H12" s="11" t="str">
        <x:v>D01, D02</x:v>
      </x:c>
      <x:c r="I12" s="11" t="str">
        <x:v>All roles</x:v>
      </x:c>
      <x:c r="J12" s="11" t="str">
        <x:v>Staging</x:v>
      </x:c>
      <x:c r="K12" s="14" t="str"/>
      <x:c r="L12" s="14" t="str"/>
      <x:c r="M12" s="14" t="str"/>
      <x:c r="N12" s="14" t="str"/>
      <x:c r="O12" s="15" t="str"/>
      <x:c r="P12" s="14" t="str"/>
      <x:c r="Q12" s="14" t="str"/>
    </x:row>
    <x:row r="13" ht="70" customHeight="1">
      <x:c r="A13" s="12" t="str">
        <x:v>AUTH-008</x:v>
      </x:c>
      <x:c r="B13" s="12" t="str">
        <x:v>Login and sessions</x:v>
      </x:c>
      <x:c r="C13" s="12" t="str">
        <x:v>P1</x:v>
      </x:c>
      <x:c r="D13" s="13" t="str">
        <x:v>Not Run</x:v>
      </x:c>
      <x:c r="E13" s="12" t="str">
        <x:v>Expired session during work</x:v>
      </x:c>
      <x:c r="F13" s="12" t="str">
        <x:v>Expire a session while a filter is loading and while a form has unsaved data.</x:v>
      </x:c>
      <x:c r="G13" s="12" t="str">
        <x:v>Loading ends with a clear sign-in action. No silent save, request loop or exposure of old account data.</x:v>
      </x:c>
      <x:c r="H13" s="12" t="str">
        <x:v>D01, D02</x:v>
      </x:c>
      <x:c r="I13" s="12" t="str">
        <x:v>All roles</x:v>
      </x:c>
      <x:c r="J13" s="12" t="str">
        <x:v>Staging</x:v>
      </x:c>
      <x:c r="K13" s="14" t="str"/>
      <x:c r="L13" s="14" t="str"/>
      <x:c r="M13" s="14" t="str"/>
      <x:c r="N13" s="14" t="str"/>
      <x:c r="O13" s="15" t="str"/>
      <x:c r="P13" s="14" t="str"/>
      <x:c r="Q13" s="14" t="str"/>
    </x:row>
    <x:row r="14" ht="70" customHeight="1">
      <x:c r="A14" s="11" t="str">
        <x:v>AUTH-009</x:v>
      </x:c>
      <x:c r="B14" s="11" t="str">
        <x:v>Login and sessions</x:v>
      </x:c>
      <x:c r="C14" s="11" t="str">
        <x:v>P0</x:v>
      </x:c>
      <x:c r="D14" s="13" t="str">
        <x:v>Not Run</x:v>
      </x:c>
      <x:c r="E14" s="11" t="str">
        <x:v>Password recovery</x:v>
      </x:c>
      <x:c r="F14" s="11" t="str">
        <x:v>Request recovery for a test account. Test valid, expired, reused and altered tokens.</x:v>
      </x:c>
      <x:c r="G14" s="11" t="str">
        <x:v>Only the valid unused token works. Existing security policy is enforced and prior sessions are handled correctly.</x:v>
      </x:c>
      <x:c r="H14" s="11" t="str">
        <x:v>D01, D02</x:v>
      </x:c>
      <x:c r="I14" s="11" t="str">
        <x:v>All roles</x:v>
      </x:c>
      <x:c r="J14" s="11" t="str">
        <x:v>Staging</x:v>
      </x:c>
      <x:c r="K14" s="14" t="str"/>
      <x:c r="L14" s="14" t="str"/>
      <x:c r="M14" s="14" t="str"/>
      <x:c r="N14" s="14" t="str"/>
      <x:c r="O14" s="15" t="str"/>
      <x:c r="P14" s="14" t="str"/>
      <x:c r="Q14" s="14" t="str"/>
    </x:row>
    <x:row r="15" ht="70" customHeight="1">
      <x:c r="A15" s="12" t="str">
        <x:v>AUTH-010</x:v>
      </x:c>
      <x:c r="B15" s="12" t="str">
        <x:v>Login and sessions</x:v>
      </x:c>
      <x:c r="C15" s="12" t="str">
        <x:v>P0</x:v>
      </x:c>
      <x:c r="D15" s="13" t="str">
        <x:v>Not Run</x:v>
      </x:c>
      <x:c r="E15" s="12" t="str">
        <x:v>Password change and old sessions</x:v>
      </x:c>
      <x:c r="F15" s="12" t="str">
        <x:v>Change a test password using the required current credentials. Retry old password and old session/handoff.</x:v>
      </x:c>
      <x:c r="G15" s="12" t="str">
        <x:v>Old credentials and invalidated sessions stop working. The new login succeeds.</x:v>
      </x:c>
      <x:c r="H15" s="12" t="str">
        <x:v>D01, D02</x:v>
      </x:c>
      <x:c r="I15" s="12" t="str">
        <x:v>All roles</x:v>
      </x:c>
      <x:c r="J15" s="12" t="str">
        <x:v>Staging</x:v>
      </x:c>
      <x:c r="K15" s="14" t="str"/>
      <x:c r="L15" s="14" t="str"/>
      <x:c r="M15" s="14" t="str"/>
      <x:c r="N15" s="14" t="str"/>
      <x:c r="O15" s="15" t="str"/>
      <x:c r="P15" s="14" t="str"/>
      <x:c r="Q15" s="14" t="str"/>
    </x:row>
    <x:row r="16" ht="70" customHeight="1">
      <x:c r="A16" s="11" t="str">
        <x:v>AUTH-011</x:v>
      </x:c>
      <x:c r="B16" s="11" t="str">
        <x:v>Login and sessions</x:v>
      </x:c>
      <x:c r="C16" s="11" t="str">
        <x:v>P1</x:v>
      </x:c>
      <x:c r="D16" s="13" t="str">
        <x:v>Not Run</x:v>
      </x:c>
      <x:c r="E16" s="11" t="str">
        <x:v>Login abuse and return URL</x:v>
      </x:c>
      <x:c r="F16" s="11" t="str">
        <x:v>Exceed the configured login limit in the lab. Supply an external return URL.</x:v>
      </x:c>
      <x:c r="G16" s="11" t="str">
        <x:v>Rate limit is enforced with a recoverable message. Redirects cannot send the session to another site.</x:v>
      </x:c>
      <x:c r="H16" s="11" t="str">
        <x:v>D01, D02</x:v>
      </x:c>
      <x:c r="I16" s="11" t="str">
        <x:v>All roles</x:v>
      </x:c>
      <x:c r="J16" s="11" t="str">
        <x:v>Isolated lab</x:v>
      </x:c>
      <x:c r="K16" s="14" t="str"/>
      <x:c r="L16" s="14" t="str"/>
      <x:c r="M16" s="14" t="str"/>
      <x:c r="N16" s="14" t="str"/>
      <x:c r="O16" s="15" t="str"/>
      <x:c r="P16" s="14" t="str"/>
      <x:c r="Q16" s="14" t="str"/>
    </x:row>
    <x:row r="17" ht="70" customHeight="1">
      <x:c r="A17" s="12" t="str">
        <x:v>MFA-001</x:v>
      </x:c>
      <x:c r="B17" s="12" t="str">
        <x:v>2FA and trusted devices</x:v>
      </x:c>
      <x:c r="C17" s="12" t="str">
        <x:v>P0</x:v>
      </x:c>
      <x:c r="D17" s="13" t="str">
        <x:v>Not Run</x:v>
      </x:c>
      <x:c r="E17" s="12" t="str">
        <x:v>Enroll first authenticator</x:v>
      </x:c>
      <x:c r="F17" s="12" t="str">
        <x:v>Start enrollment and enter an invalid code, then a valid code.</x:v>
      </x:c>
      <x:c r="G17" s="12" t="str">
        <x:v>The device is inactive until confirmed. Invalid codes cannot enable MFA.</x:v>
      </x:c>
      <x:c r="H17" s="12" t="str">
        <x:v>D01, D03</x:v>
      </x:c>
      <x:c r="I17" s="12" t="str">
        <x:v>Account owner / Super Admin</x:v>
      </x:c>
      <x:c r="J17" s="12" t="str">
        <x:v>Staging</x:v>
      </x:c>
      <x:c r="K17" s="14" t="str"/>
      <x:c r="L17" s="14" t="str"/>
      <x:c r="M17" s="14" t="str"/>
      <x:c r="N17" s="14" t="str"/>
      <x:c r="O17" s="15" t="str"/>
      <x:c r="P17" s="14" t="str"/>
      <x:c r="Q17" s="14" t="str"/>
    </x:row>
    <x:row r="18" ht="70" customHeight="1">
      <x:c r="A18" s="11" t="str">
        <x:v>MFA-002</x:v>
      </x:c>
      <x:c r="B18" s="11" t="str">
        <x:v>2FA and trusted devices</x:v>
      </x:c>
      <x:c r="C18" s="11" t="str">
        <x:v>P0</x:v>
      </x:c>
      <x:c r="D18" s="13" t="str">
        <x:v>Not Run</x:v>
      </x:c>
      <x:c r="E18" s="11" t="str">
        <x:v>Multiple authenticator devices</x:v>
      </x:c>
      <x:c r="F18" s="11" t="str">
        <x:v>Add a second authenticator after the required password and existing-factor checks. Sign in with each device.</x:v>
      </x:c>
      <x:c r="G18" s="11" t="str">
        <x:v>Both confirmed devices work independently. Enrolling the second does not overwrite the first secret.</x:v>
      </x:c>
      <x:c r="H18" s="11" t="str">
        <x:v>D01, D03</x:v>
      </x:c>
      <x:c r="I18" s="11" t="str">
        <x:v>Account owner / Super Admin</x:v>
      </x:c>
      <x:c r="J18" s="11" t="str">
        <x:v>Staging</x:v>
      </x:c>
      <x:c r="K18" s="14" t="str"/>
      <x:c r="L18" s="14" t="str"/>
      <x:c r="M18" s="14" t="str"/>
      <x:c r="N18" s="14" t="str"/>
      <x:c r="O18" s="15" t="str"/>
      <x:c r="P18" s="14" t="str"/>
      <x:c r="Q18" s="14" t="str"/>
    </x:row>
    <x:row r="19" ht="70" customHeight="1">
      <x:c r="A19" s="12" t="str">
        <x:v>MFA-003</x:v>
      </x:c>
      <x:c r="B19" s="12" t="str">
        <x:v>2FA and trusted devices</x:v>
      </x:c>
      <x:c r="C19" s="12" t="str">
        <x:v>P0</x:v>
      </x:c>
      <x:c r="D19" s="13" t="str">
        <x:v>Not Run</x:v>
      </x:c>
      <x:c r="E19" s="12" t="str">
        <x:v>OTP replay and expired code</x:v>
      </x:c>
      <x:c r="F19" s="12" t="str">
        <x:v>Reuse an accepted code and try a code outside the permitted time window.</x:v>
      </x:c>
      <x:c r="G19" s="12" t="str">
        <x:v>Replayed and expired codes are denied without bypassing MFA.</x:v>
      </x:c>
      <x:c r="H19" s="12" t="str">
        <x:v>D01, D03</x:v>
      </x:c>
      <x:c r="I19" s="12" t="str">
        <x:v>Account owner / Super Admin</x:v>
      </x:c>
      <x:c r="J19" s="12" t="str">
        <x:v>Staging</x:v>
      </x:c>
      <x:c r="K19" s="14" t="str"/>
      <x:c r="L19" s="14" t="str"/>
      <x:c r="M19" s="14" t="str"/>
      <x:c r="N19" s="14" t="str"/>
      <x:c r="O19" s="15" t="str"/>
      <x:c r="P19" s="14" t="str"/>
      <x:c r="Q19" s="14" t="str"/>
    </x:row>
    <x:row r="20" ht="70" customHeight="1">
      <x:c r="A20" s="11" t="str">
        <x:v>MFA-004</x:v>
      </x:c>
      <x:c r="B20" s="11" t="str">
        <x:v>2FA and trusted devices</x:v>
      </x:c>
      <x:c r="C20" s="11" t="str">
        <x:v>P0</x:v>
      </x:c>
      <x:c r="D20" s="13" t="str">
        <x:v>Not Run</x:v>
      </x:c>
      <x:c r="E20" s="11" t="str">
        <x:v>Revoke device</x:v>
      </x:c>
      <x:c r="F20" s="11" t="str">
        <x:v>Revoke a confirmed test device and try it again. If primary, verify the remaining confirmed device.</x:v>
      </x:c>
      <x:c r="G20" s="11" t="str">
        <x:v>Revoked codes stop working. Another confirmed device remains usable according to policy.</x:v>
      </x:c>
      <x:c r="H20" s="11" t="str">
        <x:v>D01, D03</x:v>
      </x:c>
      <x:c r="I20" s="11" t="str">
        <x:v>Account owner / Super Admin</x:v>
      </x:c>
      <x:c r="J20" s="11" t="str">
        <x:v>Staging</x:v>
      </x:c>
      <x:c r="K20" s="14" t="str"/>
      <x:c r="L20" s="14" t="str"/>
      <x:c r="M20" s="14" t="str"/>
      <x:c r="N20" s="14" t="str"/>
      <x:c r="O20" s="15" t="str"/>
      <x:c r="P20" s="14" t="str"/>
      <x:c r="Q20" s="14" t="str"/>
    </x:row>
    <x:row r="21" ht="70" customHeight="1">
      <x:c r="A21" s="12" t="str">
        <x:v>MFA-005</x:v>
      </x:c>
      <x:c r="B21" s="12" t="str">
        <x:v>2FA and trusted devices</x:v>
      </x:c>
      <x:c r="C21" s="12" t="str">
        <x:v>P0</x:v>
      </x:c>
      <x:c r="D21" s="13" t="str">
        <x:v>Not Run</x:v>
      </x:c>
      <x:c r="E21" s="12" t="str">
        <x:v>Ownership of device actions</x:v>
      </x:c>
      <x:c r="F21" s="12" t="str">
        <x:v>Use Account A to confirm, rename or revoke Account B device identifiers.</x:v>
      </x:c>
      <x:c r="G21" s="12" t="str">
        <x:v>All cross-account device actions are denied and reveal no secret.</x:v>
      </x:c>
      <x:c r="H21" s="12" t="str">
        <x:v>D01, D03</x:v>
      </x:c>
      <x:c r="I21" s="12" t="str">
        <x:v>Account owner / Super Admin</x:v>
      </x:c>
      <x:c r="J21" s="12" t="str">
        <x:v>Staging</x:v>
      </x:c>
      <x:c r="K21" s="14" t="str"/>
      <x:c r="L21" s="14" t="str"/>
      <x:c r="M21" s="14" t="str"/>
      <x:c r="N21" s="14" t="str"/>
      <x:c r="O21" s="15" t="str"/>
      <x:c r="P21" s="14" t="str"/>
      <x:c r="Q21" s="14" t="str"/>
    </x:row>
    <x:row r="22" ht="70" customHeight="1">
      <x:c r="A22" s="11" t="str">
        <x:v>MFA-006</x:v>
      </x:c>
      <x:c r="B22" s="11" t="str">
        <x:v>2FA and trusted devices</x:v>
      </x:c>
      <x:c r="C22" s="11" t="str">
        <x:v>P1</x:v>
      </x:c>
      <x:c r="D22" s="13" t="str">
        <x:v>Not Run</x:v>
      </x:c>
      <x:c r="E22" s="11" t="str">
        <x:v>Pending setup expiry and cancellation</x:v>
      </x:c>
      <x:c r="F22" s="11" t="str">
        <x:v>Cancel enrollment; start another and let it expire. Attempt confirmation afterward.</x:v>
      </x:c>
      <x:c r="G22" s="11" t="str">
        <x:v>Cancelled and expired secrets cannot be activated. Active devices are not removed.</x:v>
      </x:c>
      <x:c r="H22" s="11" t="str">
        <x:v>D01, D03</x:v>
      </x:c>
      <x:c r="I22" s="11" t="str">
        <x:v>Account owner / Super Admin</x:v>
      </x:c>
      <x:c r="J22" s="11" t="str">
        <x:v>Staging</x:v>
      </x:c>
      <x:c r="K22" s="14" t="str"/>
      <x:c r="L22" s="14" t="str"/>
      <x:c r="M22" s="14" t="str"/>
      <x:c r="N22" s="14" t="str"/>
      <x:c r="O22" s="15" t="str"/>
      <x:c r="P22" s="14" t="str"/>
      <x:c r="Q22" s="14" t="str"/>
    </x:row>
    <x:row r="23" ht="70" customHeight="1">
      <x:c r="A23" s="12" t="str">
        <x:v>MFA-007</x:v>
      </x:c>
      <x:c r="B23" s="12" t="str">
        <x:v>2FA and trusted devices</x:v>
      </x:c>
      <x:c r="C23" s="12" t="str">
        <x:v>P0</x:v>
      </x:c>
      <x:c r="D23" s="13" t="str">
        <x:v>Not Run</x:v>
      </x:c>
      <x:c r="E23" s="12" t="str">
        <x:v>Recovery code single use</x:v>
      </x:c>
      <x:c r="F23" s="12" t="str">
        <x:v>Use one recovery code, then repeat it. Test recovery under the documented procedure.</x:v>
      </x:c>
      <x:c r="G23" s="12" t="str">
        <x:v>A code is consumed once. Recovery does not silently weaken privileged MFA.</x:v>
      </x:c>
      <x:c r="H23" s="12" t="str">
        <x:v>D01, D03</x:v>
      </x:c>
      <x:c r="I23" s="12" t="str">
        <x:v>Account owner / Super Admin</x:v>
      </x:c>
      <x:c r="J23" s="12" t="str">
        <x:v>Staging</x:v>
      </x:c>
      <x:c r="K23" s="14" t="str"/>
      <x:c r="L23" s="14" t="str"/>
      <x:c r="M23" s="14" t="str"/>
      <x:c r="N23" s="14" t="str"/>
      <x:c r="O23" s="15" t="str"/>
      <x:c r="P23" s="14" t="str"/>
      <x:c r="Q23" s="14" t="str"/>
    </x:row>
    <x:row r="24" ht="70" customHeight="1">
      <x:c r="A24" s="11" t="str">
        <x:v>MFA-008</x:v>
      </x:c>
      <x:c r="B24" s="11" t="str">
        <x:v>2FA and trusted devices</x:v>
      </x:c>
      <x:c r="C24" s="11" t="str">
        <x:v>P1</x:v>
      </x:c>
      <x:c r="D24" s="13" t="str">
        <x:v>Not Run</x:v>
      </x:c>
      <x:c r="E24" s="11" t="str">
        <x:v>Device list and limits</x:v>
      </x:c>
      <x:c r="F24" s="11" t="str">
        <x:v>Test duplicate/long device names, configured device cap and last-used metadata.</x:v>
      </x:c>
      <x:c r="G24" s="11" t="str">
        <x:v>Validation is clear. No secret is returned in lists, exports, logs or browser storage.</x:v>
      </x:c>
      <x:c r="H24" s="11" t="str">
        <x:v>D01, D03</x:v>
      </x:c>
      <x:c r="I24" s="11" t="str">
        <x:v>Account owner / Super Admin</x:v>
      </x:c>
      <x:c r="J24" s="11" t="str">
        <x:v>Staging</x:v>
      </x:c>
      <x:c r="K24" s="14" t="str"/>
      <x:c r="L24" s="14" t="str"/>
      <x:c r="M24" s="14" t="str"/>
      <x:c r="N24" s="14" t="str"/>
      <x:c r="O24" s="15" t="str"/>
      <x:c r="P24" s="14" t="str"/>
      <x:c r="Q24" s="14" t="str"/>
    </x:row>
    <x:row r="25" ht="70" customHeight="1">
      <x:c r="A25" s="12" t="str">
        <x:v>SEC-001</x:v>
      </x:c>
      <x:c r="B25" s="12" t="str">
        <x:v>Authorization and tenant isolation</x:v>
      </x:c>
      <x:c r="C25" s="12" t="str">
        <x:v>P0</x:v>
      </x:c>
      <x:c r="D25" s="13" t="str">
        <x:v>Not Run</x:v>
      </x:c>
      <x:c r="E25" s="12" t="str">
        <x:v>Cross-merchant reads</x:v>
      </x:c>
      <x:c r="F25" s="12" t="str">
        <x:v>As Merchant A, request Merchant B invoice, receipt, transaction, customer and wallet identifiers.</x:v>
      </x:c>
      <x:c r="G25" s="12" t="str">
        <x:v>403/404 or scoped empty results. No B data, counts, names or amounts leak.</x:v>
      </x:c>
      <x:c r="H25" s="12" t="str">
        <x:v>D01, D04</x:v>
      </x:c>
      <x:c r="I25" s="12" t="str">
        <x:v>Security QA / all roles</x:v>
      </x:c>
      <x:c r="J25" s="12" t="str">
        <x:v>Staging</x:v>
      </x:c>
      <x:c r="K25" s="14" t="str"/>
      <x:c r="L25" s="14" t="str"/>
      <x:c r="M25" s="14" t="str"/>
      <x:c r="N25" s="14" t="str"/>
      <x:c r="O25" s="15" t="str"/>
      <x:c r="P25" s="14" t="str"/>
      <x:c r="Q25" s="14" t="str"/>
    </x:row>
    <x:row r="26" ht="70" customHeight="1">
      <x:c r="A26" s="11" t="str">
        <x:v>SEC-002</x:v>
      </x:c>
      <x:c r="B26" s="11" t="str">
        <x:v>Authorization and tenant isolation</x:v>
      </x:c>
      <x:c r="C26" s="11" t="str">
        <x:v>P0</x:v>
      </x:c>
      <x:c r="D26" s="13" t="str">
        <x:v>Not Run</x:v>
      </x:c>
      <x:c r="E26" s="11" t="str">
        <x:v>Cross-merchant writes</x:v>
      </x:c>
      <x:c r="F26" s="11" t="str">
        <x:v>As A, attempt update, cancel, approve, email or delete operations using B identifiers.</x:v>
      </x:c>
      <x:c r="G26" s="11" t="str">
        <x:v>Denied before mutation. B records and audit attribution remain unchanged.</x:v>
      </x:c>
      <x:c r="H26" s="11" t="str">
        <x:v>D01, D04</x:v>
      </x:c>
      <x:c r="I26" s="11" t="str">
        <x:v>Security QA / all roles</x:v>
      </x:c>
      <x:c r="J26" s="11" t="str">
        <x:v>Staging</x:v>
      </x:c>
      <x:c r="K26" s="14" t="str"/>
      <x:c r="L26" s="14" t="str"/>
      <x:c r="M26" s="14" t="str"/>
      <x:c r="N26" s="14" t="str"/>
      <x:c r="O26" s="15" t="str"/>
      <x:c r="P26" s="14" t="str"/>
      <x:c r="Q26" s="14" t="str"/>
    </x:row>
    <x:row r="27" ht="70" customHeight="1">
      <x:c r="A27" s="12" t="str">
        <x:v>SEC-003</x:v>
      </x:c>
      <x:c r="B27" s="12" t="str">
        <x:v>Authorization and tenant isolation</x:v>
      </x:c>
      <x:c r="C27" s="12" t="str">
        <x:v>P0</x:v>
      </x:c>
      <x:c r="D27" s="13" t="str">
        <x:v>Not Run</x:v>
      </x:c>
      <x:c r="E27" s="12" t="str">
        <x:v>PDF and export ownership</x:v>
      </x:c>
      <x:c r="F27" s="12" t="str">
        <x:v>Request B receipt PDF, report job download, attachment and export URLs with A session.</x:v>
      </x:c>
      <x:c r="G27" s="12" t="str">
        <x:v>Every file route enforces ownership and authorization independently.</x:v>
      </x:c>
      <x:c r="H27" s="12" t="str">
        <x:v>D01, D04</x:v>
      </x:c>
      <x:c r="I27" s="12" t="str">
        <x:v>Security QA / all roles</x:v>
      </x:c>
      <x:c r="J27" s="12" t="str">
        <x:v>Staging</x:v>
      </x:c>
      <x:c r="K27" s="14" t="str"/>
      <x:c r="L27" s="14" t="str"/>
      <x:c r="M27" s="14" t="str"/>
      <x:c r="N27" s="14" t="str"/>
      <x:c r="O27" s="15" t="str"/>
      <x:c r="P27" s="14" t="str"/>
      <x:c r="Q27" s="14" t="str"/>
    </x:row>
    <x:row r="28" ht="70" customHeight="1">
      <x:c r="A28" s="11" t="str">
        <x:v>SEC-004</x:v>
      </x:c>
      <x:c r="B28" s="11" t="str">
        <x:v>Authorization and tenant isolation</x:v>
      </x:c>
      <x:c r="C28" s="11" t="str">
        <x:v>P0</x:v>
      </x:c>
      <x:c r="D28" s="13" t="str">
        <x:v>Not Run</x:v>
      </x:c>
      <x:c r="E28" s="11" t="str">
        <x:v>Branch and terminal restrictions</x:v>
      </x:c>
      <x:c r="F28" s="11" t="str">
        <x:v>As branch-limited staff, change branch/terminal filters and direct identifiers to another branch.</x:v>
      </x:c>
      <x:c r="G28" s="11" t="str">
        <x:v>Results and permitted writes stay within assigned scope. Filters cannot widen access.</x:v>
      </x:c>
      <x:c r="H28" s="11" t="str">
        <x:v>D01, D04</x:v>
      </x:c>
      <x:c r="I28" s="11" t="str">
        <x:v>Security QA / all roles</x:v>
      </x:c>
      <x:c r="J28" s="11" t="str">
        <x:v>Staging</x:v>
      </x:c>
      <x:c r="K28" s="14" t="str"/>
      <x:c r="L28" s="14" t="str"/>
      <x:c r="M28" s="14" t="str"/>
      <x:c r="N28" s="14" t="str"/>
      <x:c r="O28" s="15" t="str"/>
      <x:c r="P28" s="14" t="str"/>
      <x:c r="Q28" s="14" t="str"/>
    </x:row>
    <x:row r="29" ht="70" customHeight="1">
      <x:c r="A29" s="12" t="str">
        <x:v>SEC-005</x:v>
      </x:c>
      <x:c r="B29" s="12" t="str">
        <x:v>Authorization and tenant isolation</x:v>
      </x:c>
      <x:c r="C29" s="12" t="str">
        <x:v>P0</x:v>
      </x:c>
      <x:c r="D29" s="13" t="str">
        <x:v>Not Run</x:v>
      </x:c>
      <x:c r="E29" s="12" t="str">
        <x:v>Role escalation and admin endpoints</x:v>
      </x:c>
      <x:c r="F29" s="12" t="str">
        <x:v>As merchant and ordinary admin, call restricted endpoints directly and submit role or approval fields.</x:v>
      </x:c>
      <x:c r="G29" s="12" t="str">
        <x:v>Server denies unauthorized roles and privileged fields. Hiding a button is not the only protection.</x:v>
      </x:c>
      <x:c r="H29" s="12" t="str">
        <x:v>D01, D04</x:v>
      </x:c>
      <x:c r="I29" s="12" t="str">
        <x:v>Security QA / all roles</x:v>
      </x:c>
      <x:c r="J29" s="12" t="str">
        <x:v>Staging</x:v>
      </x:c>
      <x:c r="K29" s="14" t="str"/>
      <x:c r="L29" s="14" t="str"/>
      <x:c r="M29" s="14" t="str"/>
      <x:c r="N29" s="14" t="str"/>
      <x:c r="O29" s="15" t="str"/>
      <x:c r="P29" s="14" t="str"/>
      <x:c r="Q29" s="14" t="str"/>
    </x:row>
    <x:row r="30" ht="70" customHeight="1">
      <x:c r="A30" s="11" t="str">
        <x:v>SEC-006</x:v>
      </x:c>
      <x:c r="B30" s="11" t="str">
        <x:v>Authorization and tenant isolation</x:v>
      </x:c>
      <x:c r="C30" s="11" t="str">
        <x:v>P0</x:v>
      </x:c>
      <x:c r="D30" s="13" t="str">
        <x:v>Not Run</x:v>
      </x:c>
      <x:c r="E30" s="11" t="str">
        <x:v>Cached data after account switch</x:v>
      </x:c>
      <x:c r="F30" s="11" t="str">
        <x:v>View A data, log out and log in as B in the same browser. Repeat with two concurrent tabs.</x:v>
      </x:c>
      <x:c r="G30" s="11" t="str">
        <x:v>A data never flashes or persists in B views, downloads or realtime subscriptions.</x:v>
      </x:c>
      <x:c r="H30" s="11" t="str">
        <x:v>D01, D04</x:v>
      </x:c>
      <x:c r="I30" s="11" t="str">
        <x:v>Security QA / all roles</x:v>
      </x:c>
      <x:c r="J30" s="11" t="str">
        <x:v>Staging</x:v>
      </x:c>
      <x:c r="K30" s="14" t="str"/>
      <x:c r="L30" s="14" t="str"/>
      <x:c r="M30" s="14" t="str"/>
      <x:c r="N30" s="14" t="str"/>
      <x:c r="O30" s="15" t="str"/>
      <x:c r="P30" s="14" t="str"/>
      <x:c r="Q30" s="14" t="str"/>
    </x:row>
    <x:row r="31" ht="70" customHeight="1">
      <x:c r="A31" s="12" t="str">
        <x:v>SEC-007</x:v>
      </x:c>
      <x:c r="B31" s="12" t="str">
        <x:v>Authorization and tenant isolation</x:v>
      </x:c>
      <x:c r="C31" s="12" t="str">
        <x:v>P0</x:v>
      </x:c>
      <x:c r="D31" s="13" t="str">
        <x:v>Not Run</x:v>
      </x:c>
      <x:c r="E31" s="12" t="str">
        <x:v>Anonymous private URLs</x:v>
      </x:c>
      <x:c r="F31" s="12" t="str">
        <x:v>Open private document, attachment, PDF, job and dashboard endpoints without credentials.</x:v>
      </x:c>
      <x:c r="G31" s="12" t="str">
        <x:v>Denied. Public verification reveals only its explicitly allowed fields.</x:v>
      </x:c>
      <x:c r="H31" s="12" t="str">
        <x:v>D01, D04</x:v>
      </x:c>
      <x:c r="I31" s="12" t="str">
        <x:v>Security QA / all roles</x:v>
      </x:c>
      <x:c r="J31" s="12" t="str">
        <x:v>Staging</x:v>
      </x:c>
      <x:c r="K31" s="14" t="str"/>
      <x:c r="L31" s="14" t="str"/>
      <x:c r="M31" s="14" t="str"/>
      <x:c r="N31" s="14" t="str"/>
      <x:c r="O31" s="15" t="str"/>
      <x:c r="P31" s="14" t="str"/>
      <x:c r="Q31" s="14" t="str"/>
    </x:row>
    <x:row r="32" ht="70" customHeight="1">
      <x:c r="A32" s="11" t="str">
        <x:v>SEC-008</x:v>
      </x:c>
      <x:c r="B32" s="11" t="str">
        <x:v>Authorization and tenant isolation</x:v>
      </x:c>
      <x:c r="C32" s="11" t="str">
        <x:v>P0</x:v>
      </x:c>
      <x:c r="D32" s="13" t="str">
        <x:v>Not Run</x:v>
      </x:c>
      <x:c r="E32" s="11" t="str">
        <x:v>CSRF and authentication headers</x:v>
      </x:c>
      <x:c r="F32" s="11" t="str">
        <x:v>For every cookie-authenticated mutation, test missing/invalid CSRF protection. Test conflicting API credentials separately.</x:v>
      </x:c>
      <x:c r="G32" s="11" t="str">
        <x:v>Unauthorized mutation fails. Authentication ambiguity cannot select a different user or merchant.</x:v>
      </x:c>
      <x:c r="H32" s="11" t="str">
        <x:v>D01, D04</x:v>
      </x:c>
      <x:c r="I32" s="11" t="str">
        <x:v>Security QA / all roles</x:v>
      </x:c>
      <x:c r="J32" s="11" t="str">
        <x:v>Isolated lab</x:v>
      </x:c>
      <x:c r="K32" s="14" t="str"/>
      <x:c r="L32" s="14" t="str"/>
      <x:c r="M32" s="14" t="str"/>
      <x:c r="N32" s="14" t="str"/>
      <x:c r="O32" s="15" t="str"/>
      <x:c r="P32" s="14" t="str"/>
      <x:c r="Q32" s="14" t="str"/>
    </x:row>
    <x:row r="33" ht="70" customHeight="1">
      <x:c r="A33" s="12" t="str">
        <x:v>SEC-009</x:v>
      </x:c>
      <x:c r="B33" s="12" t="str">
        <x:v>Authorization and tenant isolation</x:v>
      </x:c>
      <x:c r="C33" s="12" t="str">
        <x:v>P0</x:v>
      </x:c>
      <x:c r="D33" s="13" t="str">
        <x:v>Not Run</x:v>
      </x:c>
      <x:c r="E33" s="12" t="str">
        <x:v>Stored XSS and injection</x:v>
      </x:c>
      <x:c r="F33" s="12" t="str">
        <x:v>Use harmless lab payloads in names, descriptions, filters, invoice notes and filenames. Render UI, PDFs, email and CSV.</x:v>
      </x:c>
      <x:c r="G33" s="12" t="str">
        <x:v>Input is escaped/validated. No script execution, query manipulation or CSV formula execution.</x:v>
      </x:c>
      <x:c r="H33" s="12" t="str">
        <x:v>D01, D04</x:v>
      </x:c>
      <x:c r="I33" s="12" t="str">
        <x:v>Security QA / all roles</x:v>
      </x:c>
      <x:c r="J33" s="12" t="str">
        <x:v>Isolated lab</x:v>
      </x:c>
      <x:c r="K33" s="14" t="str"/>
      <x:c r="L33" s="14" t="str"/>
      <x:c r="M33" s="14" t="str"/>
      <x:c r="N33" s="14" t="str"/>
      <x:c r="O33" s="15" t="str"/>
      <x:c r="P33" s="14" t="str"/>
      <x:c r="Q33" s="14" t="str"/>
    </x:row>
    <x:row r="34" ht="70" customHeight="1">
      <x:c r="A34" s="11" t="str">
        <x:v>SEC-010</x:v>
      </x:c>
      <x:c r="B34" s="11" t="str">
        <x:v>Authorization and tenant isolation</x:v>
      </x:c>
      <x:c r="C34" s="11" t="str">
        <x:v>P0</x:v>
      </x:c>
      <x:c r="D34" s="13" t="str">
        <x:v>Not Run</x:v>
      </x:c>
      <x:c r="E34" s="11" t="str">
        <x:v>Unsafe uploads and URLs</x:v>
      </x:c>
      <x:c r="F34" s="11" t="str">
        <x:v>Try wrong MIME, oversized files, traversal names and internal-network URLs in logo/webhook fields.</x:v>
      </x:c>
      <x:c r="G34" s="11" t="str">
        <x:v>Validation blocks unsupported content and unintended network/file access. Private uploads remain private.</x:v>
      </x:c>
      <x:c r="H34" s="11" t="str">
        <x:v>D01, D04</x:v>
      </x:c>
      <x:c r="I34" s="11" t="str">
        <x:v>Security QA / all roles</x:v>
      </x:c>
      <x:c r="J34" s="11" t="str">
        <x:v>Isolated lab</x:v>
      </x:c>
      <x:c r="K34" s="14" t="str"/>
      <x:c r="L34" s="14" t="str"/>
      <x:c r="M34" s="14" t="str"/>
      <x:c r="N34" s="14" t="str"/>
      <x:c r="O34" s="15" t="str"/>
      <x:c r="P34" s="14" t="str"/>
      <x:c r="Q34" s="14" t="str"/>
    </x:row>
    <x:row r="35" ht="70" customHeight="1">
      <x:c r="A35" s="12" t="str">
        <x:v>SEC-011</x:v>
      </x:c>
      <x:c r="B35" s="12" t="str">
        <x:v>Authorization and tenant isolation</x:v>
      </x:c>
      <x:c r="C35" s="12" t="str">
        <x:v>P0</x:v>
      </x:c>
      <x:c r="D35" s="13" t="str">
        <x:v>Not Run</x:v>
      </x:c>
      <x:c r="E35" s="12" t="str">
        <x:v>Secrets and debug output</x:v>
      </x:c>
      <x:c r="F35" s="12" t="str">
        <x:v>Inspect normal/error API responses, browser storage, exported files and redacted logs.</x:v>
      </x:c>
      <x:c r="G35" s="12" t="str">
        <x:v>No API secret, signing key, database credential, stack trace or encrypted raw customer payload is exposed.</x:v>
      </x:c>
      <x:c r="H35" s="12" t="str">
        <x:v>D01, D04</x:v>
      </x:c>
      <x:c r="I35" s="12" t="str">
        <x:v>Security QA / all roles</x:v>
      </x:c>
      <x:c r="J35" s="12" t="str">
        <x:v>Staging</x:v>
      </x:c>
      <x:c r="K35" s="14" t="str"/>
      <x:c r="L35" s="14" t="str"/>
      <x:c r="M35" s="14" t="str"/>
      <x:c r="N35" s="14" t="str"/>
      <x:c r="O35" s="15" t="str"/>
      <x:c r="P35" s="14" t="str"/>
      <x:c r="Q35" s="14" t="str"/>
    </x:row>
    <x:row r="36" ht="70" customHeight="1">
      <x:c r="A36" s="11" t="str">
        <x:v>SEC-012</x:v>
      </x:c>
      <x:c r="B36" s="11" t="str">
        <x:v>Authorization and tenant isolation</x:v>
      </x:c>
      <x:c r="C36" s="11" t="str">
        <x:v>P1</x:v>
      </x:c>
      <x:c r="D36" s="13" t="str">
        <x:v>Not Run</x:v>
      </x:c>
      <x:c r="E36" s="11" t="str">
        <x:v>TLS, cookies and security headers</x:v>
      </x:c>
      <x:c r="F36" s="11" t="str">
        <x:v>Check HTTPS, redirect behavior, session cookie flags and deployed security headers against the approved configuration.</x:v>
      </x:c>
      <x:c r="G36" s="11" t="str">
        <x:v>Certificate validates; cookies and headers meet the approved baseline. No mixed-content credential transfer.</x:v>
      </x:c>
      <x:c r="H36" s="11" t="str">
        <x:v>D01, D04</x:v>
      </x:c>
      <x:c r="I36" s="11" t="str">
        <x:v>Security QA / all roles</x:v>
      </x:c>
      <x:c r="J36" s="11" t="str">
        <x:v>Staging</x:v>
      </x:c>
      <x:c r="K36" s="14" t="str"/>
      <x:c r="L36" s="14" t="str"/>
      <x:c r="M36" s="14" t="str"/>
      <x:c r="N36" s="14" t="str"/>
      <x:c r="O36" s="15" t="str"/>
      <x:c r="P36" s="14" t="str"/>
      <x:c r="Q36" s="14" t="str"/>
    </x:row>
    <x:row r="37" ht="70" customHeight="1">
      <x:c r="A37" s="12" t="str">
        <x:v>SEC-013</x:v>
      </x:c>
      <x:c r="B37" s="12" t="str">
        <x:v>Authorization and tenant isolation</x:v>
      </x:c>
      <x:c r="C37" s="12" t="str">
        <x:v>P0</x:v>
      </x:c>
      <x:c r="D37" s="13" t="str">
        <x:v>Not Run</x:v>
      </x:c>
      <x:c r="E37" s="12" t="str">
        <x:v>Rate limits and safe errors</x:v>
      </x:c>
      <x:c r="F37" s="12" t="str">
        <x:v>Exercise documented 401/403/402/409/422/429/5xx outcomes in the lab.</x:v>
      </x:c>
      <x:c r="G37" s="12" t="str">
        <x:v>Correct contract and actionable safe reason. No unauthorized sale, charge or information leak.</x:v>
      </x:c>
      <x:c r="H37" s="12" t="str">
        <x:v>D01, D04</x:v>
      </x:c>
      <x:c r="I37" s="12" t="str">
        <x:v>Security QA / all roles</x:v>
      </x:c>
      <x:c r="J37" s="12" t="str">
        <x:v>Isolated lab</x:v>
      </x:c>
      <x:c r="K37" s="14" t="str"/>
      <x:c r="L37" s="14" t="str"/>
      <x:c r="M37" s="14" t="str"/>
      <x:c r="N37" s="14" t="str"/>
      <x:c r="O37" s="15" t="str"/>
      <x:c r="P37" s="14" t="str"/>
      <x:c r="Q37" s="14" t="str"/>
    </x:row>
    <x:row r="38" ht="70" customHeight="1">
      <x:c r="A38" s="11" t="str">
        <x:v>SEC-014</x:v>
      </x:c>
      <x:c r="B38" s="11" t="str">
        <x:v>Authorization and tenant isolation</x:v>
      </x:c>
      <x:c r="C38" s="11" t="str">
        <x:v>P0</x:v>
      </x:c>
      <x:c r="D38" s="13" t="str">
        <x:v>Not Run</x:v>
      </x:c>
      <x:c r="E38" s="11" t="str">
        <x:v>Security audit trail</x:v>
      </x:c>
      <x:c r="F38" s="11" t="str">
        <x:v>Perform denied access and privileged changes with test accounts. Review audit evidence.</x:v>
      </x:c>
      <x:c r="G38" s="11" t="str">
        <x:v>Actor, time, action, target and outcome are attributable without logging secrets.</x:v>
      </x:c>
      <x:c r="H38" s="11" t="str">
        <x:v>D01, D04</x:v>
      </x:c>
      <x:c r="I38" s="11" t="str">
        <x:v>Security QA / all roles</x:v>
      </x:c>
      <x:c r="J38" s="11" t="str">
        <x:v>Staging</x:v>
      </x:c>
      <x:c r="K38" s="14" t="str"/>
      <x:c r="L38" s="14" t="str"/>
      <x:c r="M38" s="14" t="str"/>
      <x:c r="N38" s="14" t="str"/>
      <x:c r="O38" s="15" t="str"/>
      <x:c r="P38" s="14" t="str"/>
      <x:c r="Q38" s="14" t="str"/>
    </x:row>
    <x:row r="39" ht="70" customHeight="1">
      <x:c r="A39" s="12" t="str">
        <x:v>REG-001</x:v>
      </x:c>
      <x:c r="B39" s="12" t="str">
        <x:v>Business registry and onboarding</x:v>
      </x:c>
      <x:c r="C39" s="12" t="str">
        <x:v>P1</x:v>
      </x:c>
      <x:c r="D39" s="13" t="str">
        <x:v>Not Run</x:v>
      </x:c>
      <x:c r="E39" s="12" t="str">
        <x:v>Business registration and validation</x:v>
      </x:c>
      <x:c r="F39" s="12" t="str">
        <x:v>Submit a valid synthetic registration; repeat with missing identity, malformed TIN and duplicate account data.</x:v>
      </x:c>
      <x:c r="G39" s="12" t="str">
        <x:v>Valid registration enters the intended review state. Invalid and duplicate submissions are handled clearly.</x:v>
      </x:c>
      <x:c r="H39" s="12" t="str">
        <x:v>D01, D05</x:v>
      </x:c>
      <x:c r="I39" s="12" t="str">
        <x:v>Applicant / Merchant / Admin</x:v>
      </x:c>
      <x:c r="J39" s="12" t="str">
        <x:v>Staging</x:v>
      </x:c>
      <x:c r="K39" s="14" t="str"/>
      <x:c r="L39" s="14" t="str"/>
      <x:c r="M39" s="14" t="str"/>
      <x:c r="N39" s="14" t="str"/>
      <x:c r="O39" s="15" t="str"/>
      <x:c r="P39" s="14" t="str"/>
      <x:c r="Q39" s="14" t="str"/>
    </x:row>
    <x:row r="40" ht="70" customHeight="1">
      <x:c r="A40" s="11" t="str">
        <x:v>REG-002</x:v>
      </x:c>
      <x:c r="B40" s="11" t="str">
        <x:v>Business registry and onboarding</x:v>
      </x:c>
      <x:c r="C40" s="11" t="str">
        <x:v>P1</x:v>
      </x:c>
      <x:c r="D40" s="13" t="str">
        <x:v>Not Run</x:v>
      </x:c>
      <x:c r="E40" s="11" t="str">
        <x:v>Email code and activation</x:v>
      </x:c>
      <x:c r="F40" s="11" t="str">
        <x:v>Use correct, wrong, expired and reused verification/activation links.</x:v>
      </x:c>
      <x:c r="G40" s="11" t="str">
        <x:v>Only current valid proofs work. Failed verification cannot activate an account.</x:v>
      </x:c>
      <x:c r="H40" s="11" t="str">
        <x:v>D01, D05</x:v>
      </x:c>
      <x:c r="I40" s="11" t="str">
        <x:v>Applicant / Merchant / Admin</x:v>
      </x:c>
      <x:c r="J40" s="11" t="str">
        <x:v>Staging</x:v>
      </x:c>
      <x:c r="K40" s="14" t="str"/>
      <x:c r="L40" s="14" t="str"/>
      <x:c r="M40" s="14" t="str"/>
      <x:c r="N40" s="14" t="str"/>
      <x:c r="O40" s="15" t="str"/>
      <x:c r="P40" s="14" t="str"/>
      <x:c r="Q40" s="14" t="str"/>
    </x:row>
    <x:row r="41" ht="70" customHeight="1">
      <x:c r="A41" s="12" t="str">
        <x:v>REG-003</x:v>
      </x:c>
      <x:c r="B41" s="12" t="str">
        <x:v>Business registry and onboarding</x:v>
      </x:c>
      <x:c r="C41" s="12" t="str">
        <x:v>P1</x:v>
      </x:c>
      <x:c r="D41" s="13" t="str">
        <x:v>Not Run</x:v>
      </x:c>
      <x:c r="E41" s="12" t="str">
        <x:v>Location and RDO mapping</x:v>
      </x:c>
      <x:c r="F41" s="12" t="str">
        <x:v>Choose a complete region/province/city/barangay chain; test incompatible children and unresolved RDO.</x:v>
      </x:c>
      <x:c r="G41" s="12" t="str">
        <x:v>Stored address is coherent. Unresolved mapping asks for authorized manual review instead of inventing an RDO.</x:v>
      </x:c>
      <x:c r="H41" s="12" t="str">
        <x:v>D01, D05</x:v>
      </x:c>
      <x:c r="I41" s="12" t="str">
        <x:v>Applicant / Merchant / Admin</x:v>
      </x:c>
      <x:c r="J41" s="12" t="str">
        <x:v>Staging</x:v>
      </x:c>
      <x:c r="K41" s="14" t="str"/>
      <x:c r="L41" s="14" t="str"/>
      <x:c r="M41" s="14" t="str"/>
      <x:c r="N41" s="14" t="str"/>
      <x:c r="O41" s="15" t="str"/>
      <x:c r="P41" s="14" t="str"/>
      <x:c r="Q41" s="14" t="str"/>
    </x:row>
    <x:row r="42" ht="70" customHeight="1">
      <x:c r="A42" s="11" t="str">
        <x:v>REG-004</x:v>
      </x:c>
      <x:c r="B42" s="11" t="str">
        <x:v>Business registry and onboarding</x:v>
      </x:c>
      <x:c r="C42" s="11" t="str">
        <x:v>P0</x:v>
      </x:c>
      <x:c r="D42" s="13" t="str">
        <x:v>Not Run</x:v>
      </x:c>
      <x:c r="E42" s="11" t="str">
        <x:v>Verification documents</x:v>
      </x:c>
      <x:c r="F42" s="11" t="str">
        <x:v>Upload allowed documents; download as owner/reviewer; attempt another merchant download.</x:v>
      </x:c>
      <x:c r="G42" s="11" t="str">
        <x:v>Private documents retain correct ownership, type and integrity. Other merchants cannot retrieve them.</x:v>
      </x:c>
      <x:c r="H42" s="11" t="str">
        <x:v>D01, D05</x:v>
      </x:c>
      <x:c r="I42" s="11" t="str">
        <x:v>Applicant / Merchant / Admin</x:v>
      </x:c>
      <x:c r="J42" s="11" t="str">
        <x:v>Staging</x:v>
      </x:c>
      <x:c r="K42" s="14" t="str"/>
      <x:c r="L42" s="14" t="str"/>
      <x:c r="M42" s="14" t="str"/>
      <x:c r="N42" s="14" t="str"/>
      <x:c r="O42" s="15" t="str"/>
      <x:c r="P42" s="14" t="str"/>
      <x:c r="Q42" s="14" t="str"/>
    </x:row>
    <x:row r="43" ht="70" customHeight="1">
      <x:c r="A43" s="12" t="str">
        <x:v>REG-005</x:v>
      </x:c>
      <x:c r="B43" s="12" t="str">
        <x:v>Business registry and onboarding</x:v>
      </x:c>
      <x:c r="C43" s="12" t="str">
        <x:v>P0</x:v>
      </x:c>
      <x:c r="D43" s="13" t="str">
        <x:v>Not Run</x:v>
      </x:c>
      <x:c r="E43" s="12" t="str">
        <x:v>Approve, reject and suspend</x:v>
      </x:c>
      <x:c r="F43" s="12" t="str">
        <x:v>Review registration with reason/evidence. Repeat each action and try a stale revision.</x:v>
      </x:c>
      <x:c r="G43" s="12" t="str">
        <x:v>Authorized transition occurs once with history. Suspension consistently restricts applicable actions.</x:v>
      </x:c>
      <x:c r="H43" s="12" t="str">
        <x:v>D01, D05</x:v>
      </x:c>
      <x:c r="I43" s="12" t="str">
        <x:v>Applicant / Merchant / Admin</x:v>
      </x:c>
      <x:c r="J43" s="12" t="str">
        <x:v>Staging</x:v>
      </x:c>
      <x:c r="K43" s="14" t="str"/>
      <x:c r="L43" s="14" t="str"/>
      <x:c r="M43" s="14" t="str"/>
      <x:c r="N43" s="14" t="str"/>
      <x:c r="O43" s="15" t="str"/>
      <x:c r="P43" s="14" t="str"/>
      <x:c r="Q43" s="14" t="str"/>
    </x:row>
    <x:row r="44" ht="70" customHeight="1">
      <x:c r="A44" s="11" t="str">
        <x:v>REG-006</x:v>
      </x:c>
      <x:c r="B44" s="11" t="str">
        <x:v>Business registry and onboarding</x:v>
      </x:c>
      <x:c r="C44" s="11" t="str">
        <x:v>P0</x:v>
      </x:c>
      <x:c r="D44" s="13" t="str">
        <x:v>Not Run</x:v>
      </x:c>
      <x:c r="E44" s="11" t="str">
        <x:v>Directly editable merchant profile fields</x:v>
      </x:c>
      <x:c r="F44" s="11" t="str">
        <x:v>Change contact number, website and business description from merchant profile.</x:v>
      </x:c>
      <x:c r="G44" s="11" t="str">
        <x:v>Allowed fields update without identity approval. Unrelated identity fields are unchanged.</x:v>
      </x:c>
      <x:c r="H44" s="11" t="str">
        <x:v>D01, D05</x:v>
      </x:c>
      <x:c r="I44" s="11" t="str">
        <x:v>Applicant / Merchant / Admin</x:v>
      </x:c>
      <x:c r="J44" s="11" t="str">
        <x:v>Staging</x:v>
      </x:c>
      <x:c r="K44" s="14" t="str"/>
      <x:c r="L44" s="14" t="str"/>
      <x:c r="M44" s="14" t="str"/>
      <x:c r="N44" s="14" t="str"/>
      <x:c r="O44" s="15" t="str"/>
      <x:c r="P44" s="14" t="str"/>
      <x:c r="Q44" s="14" t="str"/>
    </x:row>
    <x:row r="45" ht="70" customHeight="1">
      <x:c r="A45" s="12" t="str">
        <x:v>REG-007</x:v>
      </x:c>
      <x:c r="B45" s="12" t="str">
        <x:v>Business registry and onboarding</x:v>
      </x:c>
      <x:c r="C45" s="12" t="str">
        <x:v>P0</x:v>
      </x:c>
      <x:c r="D45" s="13" t="str">
        <x:v>Not Run</x:v>
      </x:c>
      <x:c r="E45" s="12" t="str">
        <x:v>Protected identity change request</x:v>
      </x:c>
      <x:c r="F45" s="12" t="str">
        <x:v>Change registered business name, TIN, address or representative through merchant workflow.</x:v>
      </x:c>
      <x:c r="G45" s="12" t="str">
        <x:v>A review request is created. Current approved identity stays effective until authorized approval.</x:v>
      </x:c>
      <x:c r="H45" s="12" t="str">
        <x:v>D01, D05</x:v>
      </x:c>
      <x:c r="I45" s="12" t="str">
        <x:v>Applicant / Merchant / Admin</x:v>
      </x:c>
      <x:c r="J45" s="12" t="str">
        <x:v>Staging</x:v>
      </x:c>
      <x:c r="K45" s="14" t="str"/>
      <x:c r="L45" s="14" t="str"/>
      <x:c r="M45" s="14" t="str"/>
      <x:c r="N45" s="14" t="str"/>
      <x:c r="O45" s="15" t="str"/>
      <x:c r="P45" s="14" t="str"/>
      <x:c r="Q45" s="14" t="str"/>
    </x:row>
    <x:row r="46" ht="70" customHeight="1">
      <x:c r="A46" s="11" t="str">
        <x:v>REG-008</x:v>
      </x:c>
      <x:c r="B46" s="11" t="str">
        <x:v>Business registry and onboarding</x:v>
      </x:c>
      <x:c r="C46" s="11" t="str">
        <x:v>P0</x:v>
      </x:c>
      <x:c r="D46" s="13" t="str">
        <x:v>Not Run</x:v>
      </x:c>
      <x:c r="E46" s="11" t="str">
        <x:v>Representative and user directory alignment</x:v>
      </x:c>
      <x:c r="F46" s="11" t="str">
        <x:v>Approve an authorized representative update. Compare business profile and owner display in user directory.</x:v>
      </x:c>
      <x:c r="G46" s="11" t="str">
        <x:v>Displayed representative stays aligned. Login identity and permissions do not change accidentally.</x:v>
      </x:c>
      <x:c r="H46" s="11" t="str">
        <x:v>D01, D05</x:v>
      </x:c>
      <x:c r="I46" s="11" t="str">
        <x:v>Applicant / Merchant / Admin</x:v>
      </x:c>
      <x:c r="J46" s="11" t="str">
        <x:v>Staging</x:v>
      </x:c>
      <x:c r="K46" s="14" t="str"/>
      <x:c r="L46" s="14" t="str"/>
      <x:c r="M46" s="14" t="str"/>
      <x:c r="N46" s="14" t="str"/>
      <x:c r="O46" s="15" t="str"/>
      <x:c r="P46" s="14" t="str"/>
      <x:c r="Q46" s="14" t="str"/>
    </x:row>
    <x:row r="47" ht="70" customHeight="1">
      <x:c r="A47" s="12" t="str">
        <x:v>REG-009</x:v>
      </x:c>
      <x:c r="B47" s="12" t="str">
        <x:v>Business registry and onboarding</x:v>
      </x:c>
      <x:c r="C47" s="12" t="str">
        <x:v>P1</x:v>
      </x:c>
      <x:c r="D47" s="13" t="str">
        <x:v>Not Run</x:v>
      </x:c>
      <x:c r="E47" s="12" t="str">
        <x:v>Profile image versus invoice logo</x:v>
      </x:c>
      <x:c r="F47" s="12" t="str">
        <x:v>Upload a profile picture, then a different invoice logo. Refresh profile and receipt preview.</x:v>
      </x:c>
      <x:c r="G47" s="12" t="str">
        <x:v>Profile image needs no identity approval. Receipt uses the separately configured invoice logo.</x:v>
      </x:c>
      <x:c r="H47" s="12" t="str">
        <x:v>D01, D05</x:v>
      </x:c>
      <x:c r="I47" s="12" t="str">
        <x:v>Applicant / Merchant / Admin</x:v>
      </x:c>
      <x:c r="J47" s="12" t="str">
        <x:v>Staging</x:v>
      </x:c>
      <x:c r="K47" s="14" t="str"/>
      <x:c r="L47" s="14" t="str"/>
      <x:c r="M47" s="14" t="str"/>
      <x:c r="N47" s="14" t="str"/>
      <x:c r="O47" s="15" t="str"/>
      <x:c r="P47" s="14" t="str"/>
      <x:c r="Q47" s="14" t="str"/>
    </x:row>
    <x:row r="48" ht="70" customHeight="1">
      <x:c r="A48" s="11" t="str">
        <x:v>REG-010</x:v>
      </x:c>
      <x:c r="B48" s="11" t="str">
        <x:v>Business registry and onboarding</x:v>
      </x:c>
      <x:c r="C48" s="11" t="str">
        <x:v>P1</x:v>
      </x:c>
      <x:c r="D48" s="13" t="str">
        <x:v>Not Run</x:v>
      </x:c>
      <x:c r="E48" s="11" t="str">
        <x:v>Registered-business financial overview</x:v>
      </x:c>
      <x:c r="F48" s="11" t="str">
        <x:v>Open each business detail and compare wallet, transaction count/amount, fees, deposits and pending top-ups with fixtures.</x:v>
      </x:c>
      <x:c r="G48" s="11" t="str">
        <x:v>Figures belong to the selected business and stated environment/period. Pending funds are not available balance.</x:v>
      </x:c>
      <x:c r="H48" s="11" t="str">
        <x:v>D01, D05</x:v>
      </x:c>
      <x:c r="I48" s="11" t="str">
        <x:v>Applicant / Merchant / Admin</x:v>
      </x:c>
      <x:c r="J48" s="11" t="str">
        <x:v>Staging</x:v>
      </x:c>
      <x:c r="K48" s="14" t="str"/>
      <x:c r="L48" s="14" t="str"/>
      <x:c r="M48" s="14" t="str"/>
      <x:c r="N48" s="14" t="str"/>
      <x:c r="O48" s="15" t="str"/>
      <x:c r="P48" s="14" t="str"/>
      <x:c r="Q48" s="14" t="str"/>
    </x:row>
    <x:row r="49" ht="70" customHeight="1">
      <x:c r="A49" s="12" t="str">
        <x:v>REG-011</x:v>
      </x:c>
      <x:c r="B49" s="12" t="str">
        <x:v>Business registry and onboarding</x:v>
      </x:c>
      <x:c r="C49" s="12" t="str">
        <x:v>P1</x:v>
      </x:c>
      <x:c r="D49" s="13" t="str">
        <x:v>Not Run</x:v>
      </x:c>
      <x:c r="E49" s="12" t="str">
        <x:v>Business transaction list and actions</x:v>
      </x:c>
      <x:c r="F49" s="12" t="str">
        <x:v>Open Transactions from Business Details. Filter, paginate, preview a receipt and export.</x:v>
      </x:c>
      <x:c r="G49" s="12" t="str">
        <x:v>Merchant scope remains fixed. Actions open the exact record and are clearly labeled without duplicate controls.</x:v>
      </x:c>
      <x:c r="H49" s="12" t="str">
        <x:v>D01, D05</x:v>
      </x:c>
      <x:c r="I49" s="12" t="str">
        <x:v>Applicant / Merchant / Admin</x:v>
      </x:c>
      <x:c r="J49" s="12" t="str">
        <x:v>Staging</x:v>
      </x:c>
      <x:c r="K49" s="14" t="str"/>
      <x:c r="L49" s="14" t="str"/>
      <x:c r="M49" s="14" t="str"/>
      <x:c r="N49" s="14" t="str"/>
      <x:c r="O49" s="15" t="str"/>
      <x:c r="P49" s="14" t="str"/>
      <x:c r="Q49" s="14" t="str"/>
    </x:row>
    <x:row r="50" ht="70" customHeight="1">
      <x:c r="A50" s="11" t="str">
        <x:v>REG-012</x:v>
      </x:c>
      <x:c r="B50" s="11" t="str">
        <x:v>Business registry and onboarding</x:v>
      </x:c>
      <x:c r="C50" s="11" t="str">
        <x:v>P1</x:v>
      </x:c>
      <x:c r="D50" s="13" t="str">
        <x:v>Not Run</x:v>
      </x:c>
      <x:c r="E50" s="11" t="str">
        <x:v>Registry search and export</x:v>
      </x:c>
      <x:c r="F50" s="11" t="str">
        <x:v>Combine name/TIN/type/status/industry/registration dates. Reset; export the result.</x:v>
      </x:c>
      <x:c r="G50" s="11" t="str">
        <x:v>Counts, rows and exported scope agree. Clear empty/error states and no stale filters.</x:v>
      </x:c>
      <x:c r="H50" s="11" t="str">
        <x:v>D01, D05</x:v>
      </x:c>
      <x:c r="I50" s="11" t="str">
        <x:v>Applicant / Merchant / Admin</x:v>
      </x:c>
      <x:c r="J50" s="11" t="str">
        <x:v>Staging</x:v>
      </x:c>
      <x:c r="K50" s="14" t="str"/>
      <x:c r="L50" s="14" t="str"/>
      <x:c r="M50" s="14" t="str"/>
      <x:c r="N50" s="14" t="str"/>
      <x:c r="O50" s="15" t="str"/>
      <x:c r="P50" s="14" t="str"/>
      <x:c r="Q50" s="14" t="str"/>
    </x:row>
    <x:row r="51" ht="70" customHeight="1">
      <x:c r="A51" s="12" t="str">
        <x:v>TEAM-001</x:v>
      </x:c>
      <x:c r="B51" s="12" t="str">
        <x:v>Users, branches and terminals</x:v>
      </x:c>
      <x:c r="C51" s="12" t="str">
        <x:v>P0</x:v>
      </x:c>
      <x:c r="D51" s="13" t="str">
        <x:v>Not Run</x:v>
      </x:c>
      <x:c r="E51" s="12" t="str">
        <x:v>Invite and accept team member</x:v>
      </x:c>
      <x:c r="F51" s="12" t="str">
        <x:v>Invite controlled mailbox with a restricted role and branch. Accept once; reuse and expire the invitation.</x:v>
      </x:c>
      <x:c r="G51" s="12" t="str">
        <x:v>Exactly one scoped membership is created. Expired/replayed invitations cannot grant access.</x:v>
      </x:c>
      <x:c r="H51" s="12" t="str">
        <x:v>D01, D05</x:v>
      </x:c>
      <x:c r="I51" s="12" t="str">
        <x:v>Merchant owner / staff / Admin</x:v>
      </x:c>
      <x:c r="J51" s="12" t="str">
        <x:v>Staging</x:v>
      </x:c>
      <x:c r="K51" s="14" t="str"/>
      <x:c r="L51" s="14" t="str"/>
      <x:c r="M51" s="14" t="str"/>
      <x:c r="N51" s="14" t="str"/>
      <x:c r="O51" s="15" t="str"/>
      <x:c r="P51" s="14" t="str"/>
      <x:c r="Q51" s="14" t="str"/>
    </x:row>
    <x:row r="52" ht="70" customHeight="1">
      <x:c r="A52" s="11" t="str">
        <x:v>TEAM-002</x:v>
      </x:c>
      <x:c r="B52" s="11" t="str">
        <x:v>Users, branches and terminals</x:v>
      </x:c>
      <x:c r="C52" s="11" t="str">
        <x:v>P0</x:v>
      </x:c>
      <x:c r="D52" s="13" t="str">
        <x:v>Not Run</x:v>
      </x:c>
      <x:c r="E52" s="11" t="str">
        <x:v>Role capabilities</x:v>
      </x:c>
      <x:c r="F52" s="11" t="str">
        <x:v>Run view/create/export/settings actions as each restricted staff role.</x:v>
      </x:c>
      <x:c r="G52" s="11" t="str">
        <x:v>Only assigned capabilities work, including direct endpoint calls.</x:v>
      </x:c>
      <x:c r="H52" s="11" t="str">
        <x:v>D01, D05</x:v>
      </x:c>
      <x:c r="I52" s="11" t="str">
        <x:v>Merchant owner / staff / Admin</x:v>
      </x:c>
      <x:c r="J52" s="11" t="str">
        <x:v>Staging</x:v>
      </x:c>
      <x:c r="K52" s="14" t="str"/>
      <x:c r="L52" s="14" t="str"/>
      <x:c r="M52" s="14" t="str"/>
      <x:c r="N52" s="14" t="str"/>
      <x:c r="O52" s="15" t="str"/>
      <x:c r="P52" s="14" t="str"/>
      <x:c r="Q52" s="14" t="str"/>
    </x:row>
    <x:row r="53" ht="70" customHeight="1">
      <x:c r="A53" s="12" t="str">
        <x:v>TEAM-003</x:v>
      </x:c>
      <x:c r="B53" s="12" t="str">
        <x:v>Users, branches and terminals</x:v>
      </x:c>
      <x:c r="C53" s="12" t="str">
        <x:v>P0</x:v>
      </x:c>
      <x:c r="D53" s="13" t="str">
        <x:v>Not Run</x:v>
      </x:c>
      <x:c r="E53" s="12" t="str">
        <x:v>Permission revocation</x:v>
      </x:c>
      <x:c r="F53" s="12" t="str">
        <x:v>Remove a staff permission or membership while the staff tab is open; retry the action.</x:v>
      </x:c>
      <x:c r="G53" s="12" t="str">
        <x:v>Revoked access stops server-side immediately according to session policy.</x:v>
      </x:c>
      <x:c r="H53" s="12" t="str">
        <x:v>D01, D05</x:v>
      </x:c>
      <x:c r="I53" s="12" t="str">
        <x:v>Merchant owner / staff / Admin</x:v>
      </x:c>
      <x:c r="J53" s="12" t="str">
        <x:v>Staging</x:v>
      </x:c>
      <x:c r="K53" s="14" t="str"/>
      <x:c r="L53" s="14" t="str"/>
      <x:c r="M53" s="14" t="str"/>
      <x:c r="N53" s="14" t="str"/>
      <x:c r="O53" s="15" t="str"/>
      <x:c r="P53" s="14" t="str"/>
      <x:c r="Q53" s="14" t="str"/>
    </x:row>
    <x:row r="54" ht="70" customHeight="1">
      <x:c r="A54" s="11" t="str">
        <x:v>TEAM-004</x:v>
      </x:c>
      <x:c r="B54" s="11" t="str">
        <x:v>Users, branches and terminals</x:v>
      </x:c>
      <x:c r="C54" s="11" t="str">
        <x:v>P1</x:v>
      </x:c>
      <x:c r="D54" s="13" t="str">
        <x:v>Not Run</x:v>
      </x:c>
      <x:c r="E54" s="11" t="str">
        <x:v>User directory filters and export</x:v>
      </x:c>
      <x:c r="F54" s="11" t="str">
        <x:v>Search name/email; combine role, branch and status; export and paginate.</x:v>
      </x:c>
      <x:c r="G54" s="11" t="str">
        <x:v>No duplicate users, missing owner or out-of-scope accounts. Export follows the filters.</x:v>
      </x:c>
      <x:c r="H54" s="11" t="str">
        <x:v>D01, D05</x:v>
      </x:c>
      <x:c r="I54" s="11" t="str">
        <x:v>Merchant owner / staff / Admin</x:v>
      </x:c>
      <x:c r="J54" s="11" t="str">
        <x:v>Staging</x:v>
      </x:c>
      <x:c r="K54" s="14" t="str"/>
      <x:c r="L54" s="14" t="str"/>
      <x:c r="M54" s="14" t="str"/>
      <x:c r="N54" s="14" t="str"/>
      <x:c r="O54" s="15" t="str"/>
      <x:c r="P54" s="14" t="str"/>
      <x:c r="Q54" s="14" t="str"/>
    </x:row>
    <x:row r="55" ht="70" customHeight="1">
      <x:c r="A55" s="12" t="str">
        <x:v>TEAM-005</x:v>
      </x:c>
      <x:c r="B55" s="12" t="str">
        <x:v>Users, branches and terminals</x:v>
      </x:c>
      <x:c r="C55" s="12" t="str">
        <x:v>P0</x:v>
      </x:c>
      <x:c r="D55" s="13" t="str">
        <x:v>Not Run</x:v>
      </x:c>
      <x:c r="E55" s="12" t="str">
        <x:v>Branch registration and identity</x:v>
      </x:c>
      <x:c r="F55" s="12" t="str">
        <x:v>Create draft and complete branch data. Test duplicate codes and attempt to change a registered immutable code.</x:v>
      </x:c>
      <x:c r="G55" s="12" t="str">
        <x:v>Allowed draft behavior works; registered identity constraints and review history are preserved.</x:v>
      </x:c>
      <x:c r="H55" s="12" t="str">
        <x:v>D01, D05</x:v>
      </x:c>
      <x:c r="I55" s="12" t="str">
        <x:v>Merchant owner / staff / Admin</x:v>
      </x:c>
      <x:c r="J55" s="12" t="str">
        <x:v>Staging</x:v>
      </x:c>
      <x:c r="K55" s="14" t="str"/>
      <x:c r="L55" s="14" t="str"/>
      <x:c r="M55" s="14" t="str"/>
      <x:c r="N55" s="14" t="str"/>
      <x:c r="O55" s="15" t="str"/>
      <x:c r="P55" s="14" t="str"/>
      <x:c r="Q55" s="14" t="str"/>
    </x:row>
    <x:row r="56" ht="70" customHeight="1">
      <x:c r="A56" s="11" t="str">
        <x:v>TEAM-006</x:v>
      </x:c>
      <x:c r="B56" s="11" t="str">
        <x:v>Users, branches and terminals</x:v>
      </x:c>
      <x:c r="C56" s="11" t="str">
        <x:v>P0</x:v>
      </x:c>
      <x:c r="D56" s="13" t="str">
        <x:v>Not Run</x:v>
      </x:c>
      <x:c r="E56" s="11" t="str">
        <x:v>Branch evidence and approval</x:v>
      </x:c>
      <x:c r="F56" s="11" t="str">
        <x:v>Upload private branch evidence; approve as authorized reviewer; change protected identity afterward.</x:v>
      </x:c>
      <x:c r="G56" s="11" t="str">
        <x:v>Evidence is protected. A material identity change requires the documented re-review.</x:v>
      </x:c>
      <x:c r="H56" s="11" t="str">
        <x:v>D01, D05</x:v>
      </x:c>
      <x:c r="I56" s="11" t="str">
        <x:v>Merchant owner / staff / Admin</x:v>
      </x:c>
      <x:c r="J56" s="11" t="str">
        <x:v>Staging</x:v>
      </x:c>
      <x:c r="K56" s="14" t="str"/>
      <x:c r="L56" s="14" t="str"/>
      <x:c r="M56" s="14" t="str"/>
      <x:c r="N56" s="14" t="str"/>
      <x:c r="O56" s="15" t="str"/>
      <x:c r="P56" s="14" t="str"/>
      <x:c r="Q56" s="14" t="str"/>
    </x:row>
    <x:row r="57" ht="70" customHeight="1">
      <x:c r="A57" s="12" t="str">
        <x:v>TEAM-007</x:v>
      </x:c>
      <x:c r="B57" s="12" t="str">
        <x:v>Users, branches and terminals</x:v>
      </x:c>
      <x:c r="C57" s="12" t="str">
        <x:v>P0</x:v>
      </x:c>
      <x:c r="D57" s="13" t="str">
        <x:v>Not Run</x:v>
      </x:c>
      <x:c r="E57" s="12" t="str">
        <x:v>Terminal assignment</x:v>
      </x:c>
      <x:c r="F57" s="12" t="str">
        <x:v>Assign a test terminal to an approved merchant branch. Try foreign branch, expired authority and stale revision.</x:v>
      </x:c>
      <x:c r="G57" s="12" t="str">
        <x:v>Only valid scoped assignment succeeds. Invalid assignment cannot authorize transaction intake.</x:v>
      </x:c>
      <x:c r="H57" s="12" t="str">
        <x:v>D01, D05</x:v>
      </x:c>
      <x:c r="I57" s="12" t="str">
        <x:v>Merchant owner / staff / Admin</x:v>
      </x:c>
      <x:c r="J57" s="12" t="str">
        <x:v>Staging</x:v>
      </x:c>
      <x:c r="K57" s="14" t="str"/>
      <x:c r="L57" s="14" t="str"/>
      <x:c r="M57" s="14" t="str"/>
      <x:c r="N57" s="14" t="str"/>
      <x:c r="O57" s="15" t="str"/>
      <x:c r="P57" s="14" t="str"/>
      <x:c r="Q57" s="14" t="str"/>
    </x:row>
    <x:row r="58" ht="70" customHeight="1">
      <x:c r="A58" s="11" t="str">
        <x:v>TEAM-008</x:v>
      </x:c>
      <x:c r="B58" s="11" t="str">
        <x:v>Users, branches and terminals</x:v>
      </x:c>
      <x:c r="C58" s="11" t="str">
        <x:v>P1</x:v>
      </x:c>
      <x:c r="D58" s="13" t="str">
        <x:v>Not Run</x:v>
      </x:c>
      <x:c r="E58" s="11" t="str">
        <x:v>Inactive branch and connection claims</x:v>
      </x:c>
      <x:c r="F58" s="11" t="str">
        <x:v>Suspend a branch. Submit a request or merchant claim that it is connected/BIR approved.</x:v>
      </x:c>
      <x:c r="G58" s="11" t="str">
        <x:v>Applicable writes stop. API activity alone cannot establish BIR approval or verified connectivity.</x:v>
      </x:c>
      <x:c r="H58" s="11" t="str">
        <x:v>D01, D05</x:v>
      </x:c>
      <x:c r="I58" s="11" t="str">
        <x:v>Merchant owner / staff / Admin</x:v>
      </x:c>
      <x:c r="J58" s="11" t="str">
        <x:v>Staging</x:v>
      </x:c>
      <x:c r="K58" s="14" t="str"/>
      <x:c r="L58" s="14" t="str"/>
      <x:c r="M58" s="14" t="str"/>
      <x:c r="N58" s="14" t="str"/>
      <x:c r="O58" s="15" t="str"/>
      <x:c r="P58" s="14" t="str"/>
      <x:c r="Q58" s="14" t="str"/>
    </x:row>
    <x:row r="59" ht="70" customHeight="1">
      <x:c r="A59" s="12" t="str">
        <x:v>INV-001</x:v>
      </x:c>
      <x:c r="B59" s="12" t="str">
        <x:v>Invoice lifecycle and numbering</x:v>
      </x:c>
      <x:c r="C59" s="12" t="str">
        <x:v>P0</x:v>
      </x:c>
      <x:c r="D59" s="13" t="str">
        <x:v>Not Run</x:v>
      </x:c>
      <x:c r="E59" s="12" t="str">
        <x:v>Draft to issued invoice</x:v>
      </x:c>
      <x:c r="F59" s="12" t="str">
        <x:v>Create a draft, add buyer/items, save, reopen and issue using an approved test series.</x:v>
      </x:c>
      <x:c r="G59" s="12" t="str">
        <x:v>Draft persists. Issuance creates one immutable numbered document and one applicable fee debit.</x:v>
      </x:c>
      <x:c r="H59" s="12" t="str">
        <x:v>D04, D06</x:v>
      </x:c>
      <x:c r="I59" s="12" t="str">
        <x:v>Merchant issuer / Admin</x:v>
      </x:c>
      <x:c r="J59" s="12" t="str">
        <x:v>Staging</x:v>
      </x:c>
      <x:c r="K59" s="14" t="str"/>
      <x:c r="L59" s="14" t="str"/>
      <x:c r="M59" s="14" t="str"/>
      <x:c r="N59" s="14" t="str"/>
      <x:c r="O59" s="15" t="str"/>
      <x:c r="P59" s="14" t="str"/>
      <x:c r="Q59" s="14" t="str"/>
    </x:row>
    <x:row r="60" ht="70" customHeight="1">
      <x:c r="A60" s="11" t="str">
        <x:v>INV-002</x:v>
      </x:c>
      <x:c r="B60" s="11" t="str">
        <x:v>Invoice lifecycle and numbering</x:v>
      </x:c>
      <x:c r="C60" s="11" t="str">
        <x:v>P0</x:v>
      </x:c>
      <x:c r="D60" s="13" t="str">
        <x:v>Not Run</x:v>
      </x:c>
      <x:c r="E60" s="11" t="str">
        <x:v>Required invoice fields</x:v>
      </x:c>
      <x:c r="F60" s="11" t="str">
        <x:v>Omit required seller/buyer/date/item/registration fields one at a time for each supported document type.</x:v>
      </x:c>
      <x:c r="G60" s="11" t="str">
        <x:v>Clear field validation blocks invalid issuance without advancing the number or debiting wallet.</x:v>
      </x:c>
      <x:c r="H60" s="11" t="str">
        <x:v>D04, D06</x:v>
      </x:c>
      <x:c r="I60" s="11" t="str">
        <x:v>Merchant issuer / Admin</x:v>
      </x:c>
      <x:c r="J60" s="11" t="str">
        <x:v>Staging</x:v>
      </x:c>
      <x:c r="K60" s="14" t="str"/>
      <x:c r="L60" s="14" t="str"/>
      <x:c r="M60" s="14" t="str"/>
      <x:c r="N60" s="14" t="str"/>
      <x:c r="O60" s="15" t="str"/>
      <x:c r="P60" s="14" t="str"/>
      <x:c r="Q60" s="14" t="str"/>
    </x:row>
    <x:row r="61" ht="70" customHeight="1">
      <x:c r="A61" s="12" t="str">
        <x:v>INV-003</x:v>
      </x:c>
      <x:c r="B61" s="12" t="str">
        <x:v>Invoice lifecycle and numbering</x:v>
      </x:c>
      <x:c r="C61" s="12" t="str">
        <x:v>P0</x:v>
      </x:c>
      <x:c r="D61" s="13" t="str">
        <x:v>Not Run</x:v>
      </x:c>
      <x:c r="E61" s="12" t="str">
        <x:v>Registered series and branch scope</x:v>
      </x:c>
      <x:c r="F61" s="12" t="str">
        <x:v>Issue using active, missing, expired, exhausted and wrong-branch series.</x:v>
      </x:c>
      <x:c r="G61" s="12" t="str">
        <x:v>Only the correct active series issues within its approved range and preserves formatting.</x:v>
      </x:c>
      <x:c r="H61" s="12" t="str">
        <x:v>D04, D06</x:v>
      </x:c>
      <x:c r="I61" s="12" t="str">
        <x:v>Merchant issuer / Admin</x:v>
      </x:c>
      <x:c r="J61" s="12" t="str">
        <x:v>Staging</x:v>
      </x:c>
      <x:c r="K61" s="14" t="str"/>
      <x:c r="L61" s="14" t="str"/>
      <x:c r="M61" s="14" t="str"/>
      <x:c r="N61" s="14" t="str"/>
      <x:c r="O61" s="15" t="str"/>
      <x:c r="P61" s="14" t="str"/>
      <x:c r="Q61" s="14" t="str"/>
    </x:row>
    <x:row r="62" ht="70" customHeight="1">
      <x:c r="A62" s="11" t="str">
        <x:v>INV-004</x:v>
      </x:c>
      <x:c r="B62" s="11" t="str">
        <x:v>Invoice lifecycle and numbering</x:v>
      </x:c>
      <x:c r="C62" s="11" t="str">
        <x:v>P0</x:v>
      </x:c>
      <x:c r="D62" s="13" t="str">
        <x:v>Not Run</x:v>
      </x:c>
      <x:c r="E62" s="11" t="str">
        <x:v>Concurrent numbering</x:v>
      </x:c>
      <x:c r="F62" s="11" t="str">
        <x:v>Issue multiple documents concurrently in one branch and in separate branches.</x:v>
      </x:c>
      <x:c r="G62" s="11" t="str">
        <x:v>Unique, ordered series allocation within each scope. No duplicate number or cross-branch collision.</x:v>
      </x:c>
      <x:c r="H62" s="11" t="str">
        <x:v>D04, D06</x:v>
      </x:c>
      <x:c r="I62" s="11" t="str">
        <x:v>Merchant issuer / Admin</x:v>
      </x:c>
      <x:c r="J62" s="11" t="str">
        <x:v>Isolated lab</x:v>
      </x:c>
      <x:c r="K62" s="14" t="str"/>
      <x:c r="L62" s="14" t="str"/>
      <x:c r="M62" s="14" t="str"/>
      <x:c r="N62" s="14" t="str"/>
      <x:c r="O62" s="15" t="str"/>
      <x:c r="P62" s="14" t="str"/>
      <x:c r="Q62" s="14" t="str"/>
    </x:row>
    <x:row r="63" ht="70" customHeight="1">
      <x:c r="A63" s="12" t="str">
        <x:v>INV-005</x:v>
      </x:c>
      <x:c r="B63" s="12" t="str">
        <x:v>Invoice lifecycle and numbering</x:v>
      </x:c>
      <x:c r="C63" s="12" t="str">
        <x:v>P0</x:v>
      </x:c>
      <x:c r="D63" s="13" t="str">
        <x:v>Not Run</x:v>
      </x:c>
      <x:c r="E63" s="12" t="str">
        <x:v>Rollback does not consume number</x:v>
      </x:c>
      <x:c r="F63" s="12" t="str">
        <x:v>Force failure after number reservation but before transaction commit. Retry the valid issue.</x:v>
      </x:c>
      <x:c r="G63" s="12" t="str">
        <x:v>No partial financial record or charge. Transactional reservation rolls back consistently.</x:v>
      </x:c>
      <x:c r="H63" s="12" t="str">
        <x:v>D04, D06</x:v>
      </x:c>
      <x:c r="I63" s="12" t="str">
        <x:v>Merchant issuer / Admin</x:v>
      </x:c>
      <x:c r="J63" s="12" t="str">
        <x:v>Isolated lab</x:v>
      </x:c>
      <x:c r="K63" s="14" t="str"/>
      <x:c r="L63" s="14" t="str"/>
      <x:c r="M63" s="14" t="str"/>
      <x:c r="N63" s="14" t="str"/>
      <x:c r="O63" s="15" t="str"/>
      <x:c r="P63" s="14" t="str"/>
      <x:c r="Q63" s="14" t="str"/>
    </x:row>
    <x:row r="64" ht="70" customHeight="1">
      <x:c r="A64" s="11" t="str">
        <x:v>INV-006</x:v>
      </x:c>
      <x:c r="B64" s="11" t="str">
        <x:v>Invoice lifecycle and numbering</x:v>
      </x:c>
      <x:c r="C64" s="11" t="str">
        <x:v>P0</x:v>
      </x:c>
      <x:c r="D64" s="13" t="str">
        <x:v>Not Run</x:v>
      </x:c>
      <x:c r="E64" s="11" t="str">
        <x:v>Void number is never reused</x:v>
      </x:c>
      <x:c r="F64" s="11" t="str">
        <x:v>Void an issued test invoice and attempt to reuse its number.</x:v>
      </x:c>
      <x:c r="G64" s="11" t="str">
        <x:v>Original number/history remain preserved. Reuse is rejected.</x:v>
      </x:c>
      <x:c r="H64" s="11" t="str">
        <x:v>D04, D06</x:v>
      </x:c>
      <x:c r="I64" s="11" t="str">
        <x:v>Merchant issuer / Admin</x:v>
      </x:c>
      <x:c r="J64" s="11" t="str">
        <x:v>Staging</x:v>
      </x:c>
      <x:c r="K64" s="14" t="str"/>
      <x:c r="L64" s="14" t="str"/>
      <x:c r="M64" s="14" t="str"/>
      <x:c r="N64" s="14" t="str"/>
      <x:c r="O64" s="15" t="str"/>
      <x:c r="P64" s="14" t="str"/>
      <x:c r="Q64" s="14" t="str"/>
    </x:row>
    <x:row r="65" ht="70" customHeight="1">
      <x:c r="A65" s="12" t="str">
        <x:v>INV-007</x:v>
      </x:c>
      <x:c r="B65" s="12" t="str">
        <x:v>Invoice lifecycle and numbering</x:v>
      </x:c>
      <x:c r="C65" s="12" t="str">
        <x:v>P0</x:v>
      </x:c>
      <x:c r="D65" s="13" t="str">
        <x:v>Not Run</x:v>
      </x:c>
      <x:c r="E65" s="12" t="str">
        <x:v>External ERP invoice numbers</x:v>
      </x:c>
      <x:c r="F65" s="12" t="str">
        <x:v>Capture valid source invoice identifiers with leading zeros/prefixes; try invalid format and duplicate identity.</x:v>
      </x:c>
      <x:c r="G65" s="12" t="str">
        <x:v>Source number is printed unchanged when valid. NUERS reference remains separate; conflicts are not overwritten.</x:v>
      </x:c>
      <x:c r="H65" s="12" t="str">
        <x:v>D04, D06</x:v>
      </x:c>
      <x:c r="I65" s="12" t="str">
        <x:v>Merchant issuer / Admin</x:v>
      </x:c>
      <x:c r="J65" s="12" t="str">
        <x:v>Staging</x:v>
      </x:c>
      <x:c r="K65" s="14" t="str"/>
      <x:c r="L65" s="14" t="str"/>
      <x:c r="M65" s="14" t="str"/>
      <x:c r="N65" s="14" t="str"/>
      <x:c r="O65" s="15" t="str"/>
      <x:c r="P65" s="14" t="str"/>
      <x:c r="Q65" s="14" t="str"/>
    </x:row>
    <x:row r="66" ht="70" customHeight="1">
      <x:c r="A66" s="11" t="str">
        <x:v>INV-008</x:v>
      </x:c>
      <x:c r="B66" s="11" t="str">
        <x:v>Invoice lifecycle and numbering</x:v>
      </x:c>
      <x:c r="C66" s="11" t="str">
        <x:v>P0</x:v>
      </x:c>
      <x:c r="D66" s="13" t="str">
        <x:v>Not Run</x:v>
      </x:c>
      <x:c r="E66" s="11" t="str">
        <x:v>Same invoice number across merchants</x:v>
      </x:c>
      <x:c r="F66" s="11" t="str">
        <x:v>Create the same visible number under A and B. Open each from merchant, admin and PDF routes.</x:v>
      </x:c>
      <x:c r="G66" s="11" t="str">
        <x:v>Lookup resolves the exact authorized merchant/document identity every time.</x:v>
      </x:c>
      <x:c r="H66" s="11" t="str">
        <x:v>D04, D06</x:v>
      </x:c>
      <x:c r="I66" s="11" t="str">
        <x:v>Merchant issuer / Admin</x:v>
      </x:c>
      <x:c r="J66" s="11" t="str">
        <x:v>Staging</x:v>
      </x:c>
      <x:c r="K66" s="14" t="str"/>
      <x:c r="L66" s="14" t="str"/>
      <x:c r="M66" s="14" t="str"/>
      <x:c r="N66" s="14" t="str"/>
      <x:c r="O66" s="15" t="str"/>
      <x:c r="P66" s="14" t="str"/>
      <x:c r="Q66" s="14" t="str"/>
    </x:row>
    <x:row r="67" ht="70" customHeight="1">
      <x:c r="A67" s="12" t="str">
        <x:v>INV-009</x:v>
      </x:c>
      <x:c r="B67" s="12" t="str">
        <x:v>Invoice lifecycle and numbering</x:v>
      </x:c>
      <x:c r="C67" s="12" t="str">
        <x:v>P0</x:v>
      </x:c>
      <x:c r="D67" s="13" t="str">
        <x:v>Not Run</x:v>
      </x:c>
      <x:c r="E67" s="12" t="str">
        <x:v>Issued document edits and cancellation</x:v>
      </x:c>
      <x:c r="F67" s="12" t="str">
        <x:v>Try editing totals/identity after issuance. Use the supported cancel/correction workflow with evidence.</x:v>
      </x:c>
      <x:c r="G67" s="12" t="str">
        <x:v>Issued financial history is preserved. Changes require the appropriate linked record and audit trail.</x:v>
      </x:c>
      <x:c r="H67" s="12" t="str">
        <x:v>D04, D06</x:v>
      </x:c>
      <x:c r="I67" s="12" t="str">
        <x:v>Merchant issuer / Admin</x:v>
      </x:c>
      <x:c r="J67" s="12" t="str">
        <x:v>Staging</x:v>
      </x:c>
      <x:c r="K67" s="14" t="str"/>
      <x:c r="L67" s="14" t="str"/>
      <x:c r="M67" s="14" t="str"/>
      <x:c r="N67" s="14" t="str"/>
      <x:c r="O67" s="15" t="str"/>
      <x:c r="P67" s="14" t="str"/>
      <x:c r="Q67" s="14" t="str"/>
    </x:row>
    <x:row r="68" ht="70" customHeight="1">
      <x:c r="A68" s="11" t="str">
        <x:v>INV-010</x:v>
      </x:c>
      <x:c r="B68" s="11" t="str">
        <x:v>Invoice lifecycle and numbering</x:v>
      </x:c>
      <x:c r="C68" s="11" t="str">
        <x:v>P1</x:v>
      </x:c>
      <x:c r="D68" s="13" t="str">
        <x:v>Not Run</x:v>
      </x:c>
      <x:c r="E68" s="11" t="str">
        <x:v>Sales invoice versus payment copy</x:v>
      </x:c>
      <x:c r="F68" s="11" t="str">
        <x:v>Issue an invoice and record its payment or supplementary document. Compare sales totals and fee ledger.</x:v>
      </x:c>
      <x:c r="G68" s="11" t="str">
        <x:v>Payment copy is linked and not counted as a second sale or charged again.</x:v>
      </x:c>
      <x:c r="H68" s="11" t="str">
        <x:v>D04, D06</x:v>
      </x:c>
      <x:c r="I68" s="11" t="str">
        <x:v>Merchant issuer / Admin</x:v>
      </x:c>
      <x:c r="J68" s="11" t="str">
        <x:v>Staging</x:v>
      </x:c>
      <x:c r="K68" s="14" t="str"/>
      <x:c r="L68" s="14" t="str"/>
      <x:c r="M68" s="14" t="str"/>
      <x:c r="N68" s="14" t="str"/>
      <x:c r="O68" s="15" t="str"/>
      <x:c r="P68" s="14" t="str"/>
      <x:c r="Q68" s="14" t="str"/>
    </x:row>
    <x:row r="69" ht="70" customHeight="1">
      <x:c r="A69" s="12" t="str">
        <x:v>INV-011</x:v>
      </x:c>
      <x:c r="B69" s="12" t="str">
        <x:v>Invoice lifecycle and numbering</x:v>
      </x:c>
      <x:c r="C69" s="12" t="str">
        <x:v>P1</x:v>
      </x:c>
      <x:c r="D69" s="13" t="str">
        <x:v>Not Run</x:v>
      </x:c>
      <x:c r="E69" s="12" t="str">
        <x:v>Buyer and customer selection</x:v>
      </x:c>
      <x:c r="F69" s="12" t="str">
        <x:v>Select an existing customer, add a new one and switch customers before issue.</x:v>
      </x:c>
      <x:c r="G69" s="12" t="str">
        <x:v>Correct buyer data is saved. Failed/draft operations do not create unintended duplicate customers.</x:v>
      </x:c>
      <x:c r="H69" s="12" t="str">
        <x:v>D04, D06</x:v>
      </x:c>
      <x:c r="I69" s="12" t="str">
        <x:v>Merchant issuer / Admin</x:v>
      </x:c>
      <x:c r="J69" s="12" t="str">
        <x:v>Staging</x:v>
      </x:c>
      <x:c r="K69" s="14" t="str"/>
      <x:c r="L69" s="14" t="str"/>
      <x:c r="M69" s="14" t="str"/>
      <x:c r="N69" s="14" t="str"/>
      <x:c r="O69" s="15" t="str"/>
      <x:c r="P69" s="14" t="str"/>
      <x:c r="Q69" s="14" t="str"/>
    </x:row>
    <x:row r="70" ht="70" customHeight="1">
      <x:c r="A70" s="11" t="str">
        <x:v>INV-012</x:v>
      </x:c>
      <x:c r="B70" s="11" t="str">
        <x:v>Invoice lifecycle and numbering</x:v>
      </x:c>
      <x:c r="C70" s="11" t="str">
        <x:v>P1</x:v>
      </x:c>
      <x:c r="D70" s="13" t="str">
        <x:v>Not Run</x:v>
      </x:c>
      <x:c r="E70" s="11" t="str">
        <x:v>Print registration and POS fields</x:v>
      </x:c>
      <x:c r="F70" s="11" t="str">
        <x:v>Preview applicable CAS and POS documents with supplied registration/branch/MIN/MSN evidence.</x:v>
      </x:c>
      <x:c r="G70" s="11" t="str">
        <x:v>Applicable recorded registration fields appear correctly. Missing evidence is not fabricated.</x:v>
      </x:c>
      <x:c r="H70" s="11" t="str">
        <x:v>D04, D06</x:v>
      </x:c>
      <x:c r="I70" s="11" t="str">
        <x:v>Merchant issuer / Admin</x:v>
      </x:c>
      <x:c r="J70" s="11" t="str">
        <x:v>Staging</x:v>
      </x:c>
      <x:c r="K70" s="14" t="str"/>
      <x:c r="L70" s="14" t="str"/>
      <x:c r="M70" s="14" t="str"/>
      <x:c r="N70" s="14" t="str"/>
      <x:c r="O70" s="15" t="str"/>
      <x:c r="P70" s="14" t="str"/>
      <x:c r="Q70" s="14" t="str"/>
    </x:row>
    <x:row r="71" ht="70" customHeight="1">
      <x:c r="A71" s="12" t="str">
        <x:v>CALC-001</x:v>
      </x:c>
      <x:c r="B71" s="12" t="str">
        <x:v>Amounts, tax and discounts</x:v>
      </x:c>
      <x:c r="C71" s="12" t="str">
        <x:v>P0</x:v>
      </x:c>
      <x:c r="D71" s="13" t="str">
        <x:v>Not Run</x:v>
      </x:c>
      <x:c r="E71" s="12" t="str">
        <x:v>Basic VAT-inclusive fixture</x:v>
      </x:c>
      <x:c r="F71" s="12" t="str">
        <x:v>Issue the approved fixture with one VAT-inclusive PHP 1,120 item. Compare API, UI, PDF and report.</x:v>
      </x:c>
      <x:c r="G71" s="12" t="str">
        <x:v>Fixture totals: taxable base PHP 1,000; VAT PHP 120; total PHP 1,120. All views reconcile.</x:v>
      </x:c>
      <x:c r="H71" s="12" t="str">
        <x:v>D07, D08</x:v>
      </x:c>
      <x:c r="I71" s="12" t="str">
        <x:v>Merchant / API tester / finance QA</x:v>
      </x:c>
      <x:c r="J71" s="12" t="str">
        <x:v>Staging</x:v>
      </x:c>
      <x:c r="K71" s="14" t="str"/>
      <x:c r="L71" s="14" t="str"/>
      <x:c r="M71" s="14" t="str"/>
      <x:c r="N71" s="14" t="str"/>
      <x:c r="O71" s="15" t="str"/>
      <x:c r="P71" s="14" t="str"/>
      <x:c r="Q71" s="14" t="str"/>
    </x:row>
    <x:row r="72" ht="70" customHeight="1">
      <x:c r="A72" s="11" t="str">
        <x:v>CALC-002</x:v>
      </x:c>
      <x:c r="B72" s="11" t="str">
        <x:v>Amounts, tax and discounts</x:v>
      </x:c>
      <x:c r="C72" s="11" t="str">
        <x:v>P0</x:v>
      </x:c>
      <x:c r="D72" s="13" t="str">
        <x:v>Not Run</x:v>
      </x:c>
      <x:c r="E72" s="11" t="str">
        <x:v>VAT-exclusive, exempt and zero-rated</x:v>
      </x:c>
      <x:c r="F72" s="11" t="str">
        <x:v>Run independently approved fixtures for each classification and a mixed document.</x:v>
      </x:c>
      <x:c r="G72" s="11" t="str">
        <x:v>Line and document tax buckets match the approved oracle without double-taxing or relabeling sales.</x:v>
      </x:c>
      <x:c r="H72" s="11" t="str">
        <x:v>D07, D08</x:v>
      </x:c>
      <x:c r="I72" s="11" t="str">
        <x:v>Merchant / API tester / finance QA</x:v>
      </x:c>
      <x:c r="J72" s="11" t="str">
        <x:v>Staging</x:v>
      </x:c>
      <x:c r="K72" s="14" t="str"/>
      <x:c r="L72" s="14" t="str"/>
      <x:c r="M72" s="14" t="str"/>
      <x:c r="N72" s="14" t="str"/>
      <x:c r="O72" s="15" t="str"/>
      <x:c r="P72" s="14" t="str"/>
      <x:c r="Q72" s="14" t="str"/>
    </x:row>
    <x:row r="73" ht="70" customHeight="1">
      <x:c r="A73" s="12" t="str">
        <x:v>CALC-003</x:v>
      </x:c>
      <x:c r="B73" s="12" t="str">
        <x:v>Amounts, tax and discounts</x:v>
      </x:c>
      <x:c r="C73" s="12" t="str">
        <x:v>P0</x:v>
      </x:c>
      <x:c r="D73" s="13" t="str">
        <x:v>Not Run</x:v>
      </x:c>
      <x:c r="E73" s="12" t="str">
        <x:v>Manual fixed discount</x:v>
      </x:c>
      <x:c r="F73" s="12" t="str">
        <x:v>Apply PHP 112 document discount to the PHP 1,120 inclusive fixture with a reason.</x:v>
      </x:c>
      <x:c r="G73" s="12" t="str">
        <x:v>Manual discount PHP 112; taxable PHP 900; VAT PHP 108; total PHP 1,008. Reason persists.</x:v>
      </x:c>
      <x:c r="H73" s="12" t="str">
        <x:v>D07, D08</x:v>
      </x:c>
      <x:c r="I73" s="12" t="str">
        <x:v>Merchant / API tester / finance QA</x:v>
      </x:c>
      <x:c r="J73" s="12" t="str">
        <x:v>Staging</x:v>
      </x:c>
      <x:c r="K73" s="14" t="str"/>
      <x:c r="L73" s="14" t="str"/>
      <x:c r="M73" s="14" t="str"/>
      <x:c r="N73" s="14" t="str"/>
      <x:c r="O73" s="15" t="str"/>
      <x:c r="P73" s="14" t="str"/>
      <x:c r="Q73" s="14" t="str"/>
    </x:row>
    <x:row r="74" ht="70" customHeight="1">
      <x:c r="A74" s="11" t="str">
        <x:v>CALC-004</x:v>
      </x:c>
      <x:c r="B74" s="11" t="str">
        <x:v>Amounts, tax and discounts</x:v>
      </x:c>
      <x:c r="C74" s="11" t="str">
        <x:v>P0</x:v>
      </x:c>
      <x:c r="D74" s="13" t="str">
        <x:v>Not Run</x:v>
      </x:c>
      <x:c r="E74" s="11" t="str">
        <x:v>Manual percentage and line discounts</x:v>
      </x:c>
      <x:c r="F74" s="11" t="str">
        <x:v>Run equivalent 10% document and line discounts; also test legacy supported discount input.</x:v>
      </x:c>
      <x:c r="G74" s="11" t="str">
        <x:v>Equivalent fixtures reconcile. Manual and statutory discount totals remain separately identified.</x:v>
      </x:c>
      <x:c r="H74" s="11" t="str">
        <x:v>D07, D08</x:v>
      </x:c>
      <x:c r="I74" s="11" t="str">
        <x:v>Merchant / API tester / finance QA</x:v>
      </x:c>
      <x:c r="J74" s="11" t="str">
        <x:v>Staging</x:v>
      </x:c>
      <x:c r="K74" s="14" t="str"/>
      <x:c r="L74" s="14" t="str"/>
      <x:c r="M74" s="14" t="str"/>
      <x:c r="N74" s="14" t="str"/>
      <x:c r="O74" s="15" t="str"/>
      <x:c r="P74" s="14" t="str"/>
      <x:c r="Q74" s="14" t="str"/>
    </x:row>
    <x:row r="75" ht="70" customHeight="1">
      <x:c r="A75" s="12" t="str">
        <x:v>CALC-005</x:v>
      </x:c>
      <x:c r="B75" s="12" t="str">
        <x:v>Amounts, tax and discounts</x:v>
      </x:c>
      <x:c r="C75" s="12" t="str">
        <x:v>P0</x:v>
      </x:c>
      <x:c r="D75" s="13" t="str">
        <x:v>Not Run</x:v>
      </x:c>
      <x:c r="E75" s="12" t="str">
        <x:v>Fractional rounding and allocation</x:v>
      </x:c>
      <x:c r="F75" s="12" t="str">
        <x:v>Allocate a PHP 0.01 discount over three PHP 0.01 non-VAT lines. Test fractional quantities and mixed tax lines.</x:v>
      </x:c>
      <x:c r="G75" s="12" t="str">
        <x:v>Allocation is deterministic and exact to centavos; line totals sum to the immutable document total.</x:v>
      </x:c>
      <x:c r="H75" s="12" t="str">
        <x:v>D07, D08</x:v>
      </x:c>
      <x:c r="I75" s="12" t="str">
        <x:v>Merchant / API tester / finance QA</x:v>
      </x:c>
      <x:c r="J75" s="12" t="str">
        <x:v>Staging</x:v>
      </x:c>
      <x:c r="K75" s="14" t="str"/>
      <x:c r="L75" s="14" t="str"/>
      <x:c r="M75" s="14" t="str"/>
      <x:c r="N75" s="14" t="str"/>
      <x:c r="O75" s="15" t="str"/>
      <x:c r="P75" s="14" t="str"/>
      <x:c r="Q75" s="14" t="str"/>
    </x:row>
    <x:row r="76" ht="70" customHeight="1">
      <x:c r="A76" s="11" t="str">
        <x:v>CALC-006</x:v>
      </x:c>
      <x:c r="B76" s="11" t="str">
        <x:v>Amounts, tax and discounts</x:v>
      </x:c>
      <x:c r="C76" s="11" t="str">
        <x:v>P0</x:v>
      </x:c>
      <x:c r="D76" s="13" t="str">
        <x:v>Not Run</x:v>
      </x:c>
      <x:c r="E76" s="11" t="str">
        <x:v>Invalid discounts and totals</x:v>
      </x:c>
      <x:c r="F76" s="11" t="str">
        <x:v>Use negative/over-limit discounts, conflicting input modes and a mismatched declared total.</x:v>
      </x:c>
      <x:c r="G76" s="11" t="str">
        <x:v>Request is rejected before financial writes, numbering, wallet debit or email scheduling.</x:v>
      </x:c>
      <x:c r="H76" s="11" t="str">
        <x:v>D07, D08</x:v>
      </x:c>
      <x:c r="I76" s="11" t="str">
        <x:v>Merchant / API tester / finance QA</x:v>
      </x:c>
      <x:c r="J76" s="11" t="str">
        <x:v>Staging</x:v>
      </x:c>
      <x:c r="K76" s="14" t="str"/>
      <x:c r="L76" s="14" t="str"/>
      <x:c r="M76" s="14" t="str"/>
      <x:c r="N76" s="14" t="str"/>
      <x:c r="O76" s="15" t="str"/>
      <x:c r="P76" s="14" t="str"/>
      <x:c r="Q76" s="14" t="str"/>
    </x:row>
    <x:row r="77" ht="70" customHeight="1">
      <x:c r="A77" s="12" t="str">
        <x:v>CALC-007</x:v>
      </x:c>
      <x:c r="B77" s="12" t="str">
        <x:v>Amounts, tax and discounts</x:v>
      </x:c>
      <x:c r="C77" s="12" t="str">
        <x:v>P0</x:v>
      </x:c>
      <x:c r="D77" s="13" t="str">
        <x:v>Not Run</x:v>
      </x:c>
      <x:c r="E77" s="12" t="str">
        <x:v>Senior citizen sale</x:v>
      </x:c>
      <x:c r="F77" s="12" t="str">
        <x:v>Run approved eligible/ineligible senior citizen fixtures with identity evidence and mixed eligible items.</x:v>
      </x:c>
      <x:c r="G77" s="12" t="str">
        <x:v>Calculation, evidence, invoice labels and senior sales report match the reviewed business-rule oracle.</x:v>
      </x:c>
      <x:c r="H77" s="12" t="str">
        <x:v>D07, D08</x:v>
      </x:c>
      <x:c r="I77" s="12" t="str">
        <x:v>Merchant / API tester / finance QA</x:v>
      </x:c>
      <x:c r="J77" s="12" t="str">
        <x:v>Staging</x:v>
      </x:c>
      <x:c r="K77" s="14" t="str"/>
      <x:c r="L77" s="14" t="str"/>
      <x:c r="M77" s="14" t="str"/>
      <x:c r="N77" s="14" t="str"/>
      <x:c r="O77" s="15" t="str"/>
      <x:c r="P77" s="14" t="str"/>
      <x:c r="Q77" s="14" t="str"/>
    </x:row>
    <x:row r="78" ht="70" customHeight="1">
      <x:c r="A78" s="11" t="str">
        <x:v>CALC-008</x:v>
      </x:c>
      <x:c r="B78" s="11" t="str">
        <x:v>Amounts, tax and discounts</x:v>
      </x:c>
      <x:c r="C78" s="11" t="str">
        <x:v>P0</x:v>
      </x:c>
      <x:c r="D78" s="13" t="str">
        <x:v>Not Run</x:v>
      </x:c>
      <x:c r="E78" s="11" t="str">
        <x:v>PWD sale</x:v>
      </x:c>
      <x:c r="F78" s="11" t="str">
        <x:v>Run approved eligible/ineligible PWD fixtures and mixed eligible items.</x:v>
      </x:c>
      <x:c r="G78" s="11" t="str">
        <x:v>Calculation, evidence and PWD report reconcile to issued documents.</x:v>
      </x:c>
      <x:c r="H78" s="11" t="str">
        <x:v>D07, D08</x:v>
      </x:c>
      <x:c r="I78" s="11" t="str">
        <x:v>Merchant / API tester / finance QA</x:v>
      </x:c>
      <x:c r="J78" s="11" t="str">
        <x:v>Staging</x:v>
      </x:c>
      <x:c r="K78" s="14" t="str"/>
      <x:c r="L78" s="14" t="str"/>
      <x:c r="M78" s="14" t="str"/>
      <x:c r="N78" s="14" t="str"/>
      <x:c r="O78" s="15" t="str"/>
      <x:c r="P78" s="14" t="str"/>
      <x:c r="Q78" s="14" t="str"/>
    </x:row>
    <x:row r="79" ht="70" customHeight="1">
      <x:c r="A79" s="12" t="str">
        <x:v>CALC-009</x:v>
      </x:c>
      <x:c r="B79" s="12" t="str">
        <x:v>Amounts, tax and discounts</x:v>
      </x:c>
      <x:c r="C79" s="12" t="str">
        <x:v>P0</x:v>
      </x:c>
      <x:c r="D79" s="13" t="str">
        <x:v>Not Run</x:v>
      </x:c>
      <x:c r="E79" s="12" t="str">
        <x:v>National athlete and coach sale</x:v>
      </x:c>
      <x:c r="F79" s="12" t="str">
        <x:v>Run athlete and coach fixtures with valid and missing eligibility evidence.</x:v>
      </x:c>
      <x:c r="G79" s="12" t="str">
        <x:v>Applicable approved rules are used; unsupported eligibility is rejected or sent to required review.</x:v>
      </x:c>
      <x:c r="H79" s="12" t="str">
        <x:v>D07, D08</x:v>
      </x:c>
      <x:c r="I79" s="12" t="str">
        <x:v>Merchant / API tester / finance QA</x:v>
      </x:c>
      <x:c r="J79" s="12" t="str">
        <x:v>Staging</x:v>
      </x:c>
      <x:c r="K79" s="14" t="str"/>
      <x:c r="L79" s="14" t="str"/>
      <x:c r="M79" s="14" t="str"/>
      <x:c r="N79" s="14" t="str"/>
      <x:c r="O79" s="15" t="str"/>
      <x:c r="P79" s="14" t="str"/>
      <x:c r="Q79" s="14" t="str"/>
    </x:row>
    <x:row r="80" ht="70" customHeight="1">
      <x:c r="A80" s="11" t="str">
        <x:v>CALC-010</x:v>
      </x:c>
      <x:c r="B80" s="11" t="str">
        <x:v>Amounts, tax and discounts</x:v>
      </x:c>
      <x:c r="C80" s="11" t="str">
        <x:v>P0</x:v>
      </x:c>
      <x:c r="D80" s="13" t="str">
        <x:v>Not Run</x:v>
      </x:c>
      <x:c r="E80" s="11" t="str">
        <x:v>Solo-parent sale</x:v>
      </x:c>
      <x:c r="F80" s="11" t="str">
        <x:v>Run approved item/scope/eligibility fixtures, including missing evidence and boundary dates.</x:v>
      </x:c>
      <x:c r="G80" s="11" t="str">
        <x:v>Only supported eligible sales receive the approved treatment; solo-parent report reconciles.</x:v>
      </x:c>
      <x:c r="H80" s="11" t="str">
        <x:v>D07, D08</x:v>
      </x:c>
      <x:c r="I80" s="11" t="str">
        <x:v>Merchant / API tester / finance QA</x:v>
      </x:c>
      <x:c r="J80" s="11" t="str">
        <x:v>Staging</x:v>
      </x:c>
      <x:c r="K80" s="14" t="str"/>
      <x:c r="L80" s="14" t="str"/>
      <x:c r="M80" s="14" t="str"/>
      <x:c r="N80" s="14" t="str"/>
      <x:c r="O80" s="15" t="str"/>
      <x:c r="P80" s="14" t="str"/>
      <x:c r="Q80" s="14" t="str"/>
    </x:row>
    <x:row r="81" ht="70" customHeight="1">
      <x:c r="A81" s="12" t="str">
        <x:v>CALC-011</x:v>
      </x:c>
      <x:c r="B81" s="12" t="str">
        <x:v>Amounts, tax and discounts</x:v>
      </x:c>
      <x:c r="C81" s="12" t="str">
        <x:v>P0</x:v>
      </x:c>
      <x:c r="D81" s="13" t="str">
        <x:v>Not Run</x:v>
      </x:c>
      <x:c r="E81" s="12" t="str">
        <x:v>Manual and statutory discount interaction</x:v>
      </x:c>
      <x:c r="F81" s="12" t="str">
        <x:v>Try overlapping discounts on an ineligible combination; then manual discount on a separate regular line beside a benefit line.</x:v>
      </x:c>
      <x:c r="G81" s="12" t="str">
        <x:v>Unsupported overlap is rejected. Supported separate-line treatment remains distinctly recorded.</x:v>
      </x:c>
      <x:c r="H81" s="12" t="str">
        <x:v>D07, D08</x:v>
      </x:c>
      <x:c r="I81" s="12" t="str">
        <x:v>Merchant / API tester / finance QA</x:v>
      </x:c>
      <x:c r="J81" s="12" t="str">
        <x:v>Staging</x:v>
      </x:c>
      <x:c r="K81" s="14" t="str"/>
      <x:c r="L81" s="14" t="str"/>
      <x:c r="M81" s="14" t="str"/>
      <x:c r="N81" s="14" t="str"/>
      <x:c r="O81" s="15" t="str"/>
      <x:c r="P81" s="14" t="str"/>
      <x:c r="Q81" s="14" t="str"/>
    </x:row>
    <x:row r="82" ht="70" customHeight="1">
      <x:c r="A82" s="11" t="str">
        <x:v>CALC-012</x:v>
      </x:c>
      <x:c r="B82" s="11" t="str">
        <x:v>Amounts, tax and discounts</x:v>
      </x:c>
      <x:c r="C82" s="11" t="str">
        <x:v>P0</x:v>
      </x:c>
      <x:c r="D82" s="13" t="str">
        <x:v>Not Run</x:v>
      </x:c>
      <x:c r="E82" s="11" t="str">
        <x:v>Withholding and CWT memo</x:v>
      </x:c>
      <x:c r="F82" s="11" t="str">
        <x:v>Use valid structured withholding and invalid/excess withholding. Create a supported linked CWT memo.</x:v>
      </x:c>
      <x:c r="G82" s="11" t="str">
        <x:v>Gross, VAT, withholding and payable amounts reconcile. Original invoice values are not silently changed.</x:v>
      </x:c>
      <x:c r="H82" s="11" t="str">
        <x:v>D07, D08</x:v>
      </x:c>
      <x:c r="I82" s="11" t="str">
        <x:v>Merchant / API tester / finance QA</x:v>
      </x:c>
      <x:c r="J82" s="11" t="str">
        <x:v>Staging</x:v>
      </x:c>
      <x:c r="K82" s="14" t="str"/>
      <x:c r="L82" s="14" t="str"/>
      <x:c r="M82" s="14" t="str"/>
      <x:c r="N82" s="14" t="str"/>
      <x:c r="O82" s="15" t="str"/>
      <x:c r="P82" s="14" t="str"/>
      <x:c r="Q82" s="14" t="str"/>
    </x:row>
    <x:row r="83" ht="70" customHeight="1">
      <x:c r="A83" s="12" t="str">
        <x:v>CALC-013</x:v>
      </x:c>
      <x:c r="B83" s="12" t="str">
        <x:v>Amounts, tax and discounts</x:v>
      </x:c>
      <x:c r="C83" s="12" t="str">
        <x:v>P1</x:v>
      </x:c>
      <x:c r="D83" s="13" t="str">
        <x:v>Not Run</x:v>
      </x:c>
      <x:c r="E83" s="12" t="str">
        <x:v>Service charges and other charges</x:v>
      </x:c>
      <x:c r="F83" s="12" t="str">
        <x:v>Use approved fixtures with service/other charges, zero charges and item-level tax classifications.</x:v>
      </x:c>
      <x:c r="G83" s="12" t="str">
        <x:v>Charges are counted exactly once and displayed consistently in totals and reports.</x:v>
      </x:c>
      <x:c r="H83" s="12" t="str">
        <x:v>D07, D08</x:v>
      </x:c>
      <x:c r="I83" s="12" t="str">
        <x:v>Merchant / API tester / finance QA</x:v>
      </x:c>
      <x:c r="J83" s="12" t="str">
        <x:v>Staging</x:v>
      </x:c>
      <x:c r="K83" s="14" t="str"/>
      <x:c r="L83" s="14" t="str"/>
      <x:c r="M83" s="14" t="str"/>
      <x:c r="N83" s="14" t="str"/>
      <x:c r="O83" s="15" t="str"/>
      <x:c r="P83" s="14" t="str"/>
      <x:c r="Q83" s="14" t="str"/>
    </x:row>
    <x:row r="84" ht="70" customHeight="1">
      <x:c r="A84" s="11" t="str">
        <x:v>CALC-014</x:v>
      </x:c>
      <x:c r="B84" s="11" t="str">
        <x:v>Amounts, tax and discounts</x:v>
      </x:c>
      <x:c r="C84" s="11" t="str">
        <x:v>P0</x:v>
      </x:c>
      <x:c r="D84" s="13" t="str">
        <x:v>Not Run</x:v>
      </x:c>
      <x:c r="E84" s="11" t="str">
        <x:v>Currency, precision and boundaries</x:v>
      </x:c>
      <x:c r="F84" s="11" t="str">
        <x:v>Try zero where allowed, negative totals, maximum supported values, excess decimals and unsupported currency.</x:v>
      </x:c>
      <x:c r="G84" s="11" t="str">
        <x:v>Supported PHP values use exact centavos and peso formatting. Unsupported values fail clearly.</x:v>
      </x:c>
      <x:c r="H84" s="11" t="str">
        <x:v>D07, D08</x:v>
      </x:c>
      <x:c r="I84" s="11" t="str">
        <x:v>Merchant / API tester / finance QA</x:v>
      </x:c>
      <x:c r="J84" s="11" t="str">
        <x:v>Staging</x:v>
      </x:c>
      <x:c r="K84" s="14" t="str"/>
      <x:c r="L84" s="14" t="str"/>
      <x:c r="M84" s="14" t="str"/>
      <x:c r="N84" s="14" t="str"/>
      <x:c r="O84" s="15" t="str"/>
      <x:c r="P84" s="14" t="str"/>
      <x:c r="Q84" s="14" t="str"/>
    </x:row>
    <x:row r="85" ht="70" customHeight="1">
      <x:c r="A85" s="12" t="str">
        <x:v>RCP-001</x:v>
      </x:c>
      <x:c r="B85" s="12" t="str">
        <x:v>E-receipts, PDFs and branding</x:v>
      </x:c>
      <x:c r="C85" s="12" t="str">
        <x:v>P0</x:v>
      </x:c>
      <x:c r="D85" s="13" t="str">
        <x:v>Not Run</x:v>
      </x:c>
      <x:c r="E85" s="12" t="str">
        <x:v>Admin receipt viewer</x:v>
      </x:c>
      <x:c r="F85" s="12" t="str">
        <x:v>Open View Receipt from admin transactions, recent transactions and business transaction list.</x:v>
      </x:c>
      <x:c r="G85" s="12" t="str">
        <x:v>Exact merchant-branded receipt opens rather than transaction-only metadata.</x:v>
      </x:c>
      <x:c r="H85" s="12" t="str">
        <x:v>D04, D06, D09</x:v>
      </x:c>
      <x:c r="I85" s="12" t="str">
        <x:v>Merchant / Admin / recipient</x:v>
      </x:c>
      <x:c r="J85" s="12" t="str">
        <x:v>Staging</x:v>
      </x:c>
      <x:c r="K85" s="14" t="str"/>
      <x:c r="L85" s="14" t="str"/>
      <x:c r="M85" s="14" t="str"/>
      <x:c r="N85" s="14" t="str"/>
      <x:c r="O85" s="15" t="str"/>
      <x:c r="P85" s="14" t="str"/>
      <x:c r="Q85" s="14" t="str"/>
    </x:row>
    <x:row r="86" ht="70" customHeight="1">
      <x:c r="A86" s="11" t="str">
        <x:v>RCP-002</x:v>
      </x:c>
      <x:c r="B86" s="11" t="str">
        <x:v>E-receipts, PDFs and branding</x:v>
      </x:c>
      <x:c r="C86" s="11" t="str">
        <x:v>P0</x:v>
      </x:c>
      <x:c r="D86" s="13" t="str">
        <x:v>Not Run</x:v>
      </x:c>
      <x:c r="E86" s="11" t="str">
        <x:v>Merchant receipt viewer</x:v>
      </x:c>
      <x:c r="F86" s="11" t="str">
        <x:v>Open the same document from merchant invoice/receipt lists and details.</x:v>
      </x:c>
      <x:c r="G86" s="11" t="str">
        <x:v>Number, date, buyer, items, taxes and total agree with the admin view.</x:v>
      </x:c>
      <x:c r="H86" s="11" t="str">
        <x:v>D04, D06, D09</x:v>
      </x:c>
      <x:c r="I86" s="11" t="str">
        <x:v>Merchant / Admin / recipient</x:v>
      </x:c>
      <x:c r="J86" s="11" t="str">
        <x:v>Staging</x:v>
      </x:c>
      <x:c r="K86" s="14" t="str"/>
      <x:c r="L86" s="14" t="str"/>
      <x:c r="M86" s="14" t="str"/>
      <x:c r="N86" s="14" t="str"/>
      <x:c r="O86" s="15" t="str"/>
      <x:c r="P86" s="14" t="str"/>
      <x:c r="Q86" s="14" t="str"/>
    </x:row>
    <x:row r="87" ht="70" customHeight="1">
      <x:c r="A87" s="12" t="str">
        <x:v>RCP-003</x:v>
      </x:c>
      <x:c r="B87" s="12" t="str">
        <x:v>E-receipts, PDFs and branding</x:v>
      </x:c>
      <x:c r="C87" s="12" t="str">
        <x:v>P1</x:v>
      </x:c>
      <x:c r="D87" s="13" t="str">
        <x:v>Not Run</x:v>
      </x:c>
      <x:c r="E87" s="12" t="str">
        <x:v>Removed receipt section globally</x:v>
      </x:c>
      <x:c r="F87" s="12" t="str">
        <x:v>Inspect standard, minimal and detailed previews; generate PDFs and captured email copies.</x:v>
      </x:c>
      <x:c r="G87" s="12" t="str">
        <x:v>Record Evidence, verification/QR notice and removed custom footer notes are absent. Items, tax breakdown and totals remain.</x:v>
      </x:c>
      <x:c r="H87" s="12" t="str">
        <x:v>D04, D06, D09</x:v>
      </x:c>
      <x:c r="I87" s="12" t="str">
        <x:v>Merchant / Admin / recipient</x:v>
      </x:c>
      <x:c r="J87" s="12" t="str">
        <x:v>Staging</x:v>
      </x:c>
      <x:c r="K87" s="14" t="str"/>
      <x:c r="L87" s="14" t="str"/>
      <x:c r="M87" s="14" t="str"/>
      <x:c r="N87" s="14" t="str"/>
      <x:c r="O87" s="15" t="str"/>
      <x:c r="P87" s="14" t="str"/>
      <x:c r="Q87" s="14" t="str"/>
    </x:row>
    <x:row r="88" ht="70" customHeight="1">
      <x:c r="A88" s="11" t="str">
        <x:v>RCP-004</x:v>
      </x:c>
      <x:c r="B88" s="11" t="str">
        <x:v>E-receipts, PDFs and branding</x:v>
      </x:c>
      <x:c r="C88" s="11" t="str">
        <x:v>P1</x:v>
      </x:c>
      <x:c r="D88" s="13" t="str">
        <x:v>Not Run</x:v>
      </x:c>
      <x:c r="E88" s="11" t="str">
        <x:v>Separate invoice logo</x:v>
      </x:c>
      <x:c r="F88" s="11" t="str">
        <x:v>Change invoice branding and compare profile image, preview, PDF and captured email copy.</x:v>
      </x:c>
      <x:c r="G88" s="11" t="str">
        <x:v>Receipt outputs use the invoice logo and configured colors. Profile image stays independent.</x:v>
      </x:c>
      <x:c r="H88" s="11" t="str">
        <x:v>D04, D06, D09</x:v>
      </x:c>
      <x:c r="I88" s="11" t="str">
        <x:v>Merchant / Admin / recipient</x:v>
      </x:c>
      <x:c r="J88" s="11" t="str">
        <x:v>Staging</x:v>
      </x:c>
      <x:c r="K88" s="14" t="str"/>
      <x:c r="L88" s="14" t="str"/>
      <x:c r="M88" s="14" t="str"/>
      <x:c r="N88" s="14" t="str"/>
      <x:c r="O88" s="15" t="str"/>
      <x:c r="P88" s="14" t="str"/>
      <x:c r="Q88" s="14" t="str"/>
    </x:row>
    <x:row r="89" ht="70" customHeight="1">
      <x:c r="A89" s="12" t="str">
        <x:v>RCP-005</x:v>
      </x:c>
      <x:c r="B89" s="12" t="str">
        <x:v>E-receipts, PDFs and branding</x:v>
      </x:c>
      <x:c r="C89" s="12" t="str">
        <x:v>P1</x:v>
      </x:c>
      <x:c r="D89" s="13" t="str">
        <x:v>Not Run</x:v>
      </x:c>
      <x:c r="E89" s="12" t="str">
        <x:v>Logo validation and fallback</x:v>
      </x:c>
      <x:c r="F89" s="12" t="str">
        <x:v>Use permitted image types, transparent image, missing image, invalid MIME and oversized upload.</x:v>
      </x:c>
      <x:c r="G89" s="12" t="str">
        <x:v>Valid image is legible; invalid uploads fail; missing image has an intentional fallback without a broken layout.</x:v>
      </x:c>
      <x:c r="H89" s="12" t="str">
        <x:v>D04, D06, D09</x:v>
      </x:c>
      <x:c r="I89" s="12" t="str">
        <x:v>Merchant / Admin / recipient</x:v>
      </x:c>
      <x:c r="J89" s="12" t="str">
        <x:v>Staging</x:v>
      </x:c>
      <x:c r="K89" s="14" t="str"/>
      <x:c r="L89" s="14" t="str"/>
      <x:c r="M89" s="14" t="str"/>
      <x:c r="N89" s="14" t="str"/>
      <x:c r="O89" s="15" t="str"/>
      <x:c r="P89" s="14" t="str"/>
      <x:c r="Q89" s="14" t="str"/>
    </x:row>
    <x:row r="90" ht="70" customHeight="1">
      <x:c r="A90" s="11" t="str">
        <x:v>RCP-006</x:v>
      </x:c>
      <x:c r="B90" s="11" t="str">
        <x:v>E-receipts, PDFs and branding</x:v>
      </x:c>
      <x:c r="C90" s="11" t="str">
        <x:v>P1</x:v>
      </x:c>
      <x:c r="D90" s="13" t="str">
        <x:v>Not Run</x:v>
      </x:c>
      <x:c r="E90" s="11" t="str">
        <x:v>Long and multi-page receipt</x:v>
      </x:c>
      <x:c r="F90" s="11" t="str">
        <x:v>Use many items, long descriptions, Unicode names and long addresses. Generate print/PDF.</x:v>
      </x:c>
      <x:c r="G90" s="11" t="str">
        <x:v>No clipped columns, missing lines or overlaps. Pagination and totals remain readable.</x:v>
      </x:c>
      <x:c r="H90" s="11" t="str">
        <x:v>D04, D06, D09</x:v>
      </x:c>
      <x:c r="I90" s="11" t="str">
        <x:v>Merchant / Admin / recipient</x:v>
      </x:c>
      <x:c r="J90" s="11" t="str">
        <x:v>Staging</x:v>
      </x:c>
      <x:c r="K90" s="14" t="str"/>
      <x:c r="L90" s="14" t="str"/>
      <x:c r="M90" s="14" t="str"/>
      <x:c r="N90" s="14" t="str"/>
      <x:c r="O90" s="15" t="str"/>
      <x:c r="P90" s="14" t="str"/>
      <x:c r="Q90" s="14" t="str"/>
    </x:row>
    <x:row r="91" ht="70" customHeight="1">
      <x:c r="A91" s="12" t="str">
        <x:v>RCP-007</x:v>
      </x:c>
      <x:c r="B91" s="12" t="str">
        <x:v>E-receipts, PDFs and branding</x:v>
      </x:c>
      <x:c r="C91" s="12" t="str">
        <x:v>P0</x:v>
      </x:c>
      <x:c r="D91" s="13" t="str">
        <x:v>Not Run</x:v>
      </x:c>
      <x:c r="E91" s="12" t="str">
        <x:v>PDF integrity and audit</x:v>
      </x:c>
      <x:c r="F91" s="12" t="str">
        <x:v>Download through admin and merchant authenticated routes; inspect type and contents; compare record afterward.</x:v>
      </x:c>
      <x:c r="G91" s="12" t="str">
        <x:v>Valid PDF for the requested document. Viewing/downloading does not change original financial data.</x:v>
      </x:c>
      <x:c r="H91" s="12" t="str">
        <x:v>D04, D06, D09</x:v>
      </x:c>
      <x:c r="I91" s="12" t="str">
        <x:v>Merchant / Admin / recipient</x:v>
      </x:c>
      <x:c r="J91" s="12" t="str">
        <x:v>Staging</x:v>
      </x:c>
      <x:c r="K91" s="14" t="str"/>
      <x:c r="L91" s="14" t="str"/>
      <x:c r="M91" s="14" t="str"/>
      <x:c r="N91" s="14" t="str"/>
      <x:c r="O91" s="15" t="str"/>
      <x:c r="P91" s="14" t="str"/>
      <x:c r="Q91" s="14" t="str"/>
    </x:row>
    <x:row r="92" ht="70" customHeight="1">
      <x:c r="A92" s="11" t="str">
        <x:v>RCP-008</x:v>
      </x:c>
      <x:c r="B92" s="11" t="str">
        <x:v>E-receipts, PDFs and branding</x:v>
      </x:c>
      <x:c r="C92" s="11" t="str">
        <x:v>P1</x:v>
      </x:c>
      <x:c r="D92" s="13" t="str">
        <x:v>Not Run</x:v>
      </x:c>
      <x:c r="E92" s="11" t="str">
        <x:v>Print behavior</x:v>
      </x:c>
      <x:c r="F92" s="11" t="str">
        <x:v>Use browser print and PDF print at supported paper sizes.</x:v>
      </x:c>
      <x:c r="G92" s="11" t="str">
        <x:v>Only intended document content prints with usable margins, peso symbol and complete totals.</x:v>
      </x:c>
      <x:c r="H92" s="11" t="str">
        <x:v>D04, D06, D09</x:v>
      </x:c>
      <x:c r="I92" s="11" t="str">
        <x:v>Merchant / Admin / recipient</x:v>
      </x:c>
      <x:c r="J92" s="11" t="str">
        <x:v>Staging</x:v>
      </x:c>
      <x:c r="K92" s="14" t="str"/>
      <x:c r="L92" s="14" t="str"/>
      <x:c r="M92" s="14" t="str"/>
      <x:c r="N92" s="14" t="str"/>
      <x:c r="O92" s="15" t="str"/>
      <x:c r="P92" s="14" t="str"/>
      <x:c r="Q92" s="14" t="str"/>
    </x:row>
    <x:row r="93" ht="70" customHeight="1">
      <x:c r="A93" s="12" t="str">
        <x:v>RCP-009</x:v>
      </x:c>
      <x:c r="B93" s="12" t="str">
        <x:v>E-receipts, PDFs and branding</x:v>
      </x:c>
      <x:c r="C93" s="12" t="str">
        <x:v>P1</x:v>
      </x:c>
      <x:c r="D93" s="13" t="str">
        <x:v>Not Run</x:v>
      </x:c>
      <x:c r="E93" s="12" t="str">
        <x:v>Renderer failure and retry</x:v>
      </x:c>
      <x:c r="F93" s="12" t="str">
        <x:v>In lab, make PDF service unavailable or exceed a supported limit. Retry after recovery.</x:v>
      </x:c>
      <x:c r="G93" s="12" t="str">
        <x:v>Clear bounded error; no endless loading, duplicate sale or lost record.</x:v>
      </x:c>
      <x:c r="H93" s="12" t="str">
        <x:v>D04, D06, D09</x:v>
      </x:c>
      <x:c r="I93" s="12" t="str">
        <x:v>Merchant / Admin / recipient</x:v>
      </x:c>
      <x:c r="J93" s="12" t="str">
        <x:v>Isolated lab</x:v>
      </x:c>
      <x:c r="K93" s="14" t="str"/>
      <x:c r="L93" s="14" t="str"/>
      <x:c r="M93" s="14" t="str"/>
      <x:c r="N93" s="14" t="str"/>
      <x:c r="O93" s="15" t="str"/>
      <x:c r="P93" s="14" t="str"/>
      <x:c r="Q93" s="14" t="str"/>
    </x:row>
    <x:row r="94" ht="70" customHeight="1">
      <x:c r="A94" s="11" t="str">
        <x:v>RCP-010</x:v>
      </x:c>
      <x:c r="B94" s="11" t="str">
        <x:v>E-receipts, PDFs and branding</x:v>
      </x:c>
      <x:c r="C94" s="11" t="str">
        <x:v>P0</x:v>
      </x:c>
      <x:c r="D94" s="13" t="str">
        <x:v>Not Run</x:v>
      </x:c>
      <x:c r="E94" s="11" t="str">
        <x:v>Receipt copy security</x:v>
      </x:c>
      <x:c r="F94" s="11" t="str">
        <x:v>Use expired session, foreign receipt ID and unsafe text/URL content in a test receipt.</x:v>
      </x:c>
      <x:c r="G94" s="11" t="str">
        <x:v>Access is denied or content is safely rendered; renderer cannot fetch arbitrary private resources.</x:v>
      </x:c>
      <x:c r="H94" s="11" t="str">
        <x:v>D04, D06, D09</x:v>
      </x:c>
      <x:c r="I94" s="11" t="str">
        <x:v>Merchant / Admin / recipient</x:v>
      </x:c>
      <x:c r="J94" s="11" t="str">
        <x:v>Staging</x:v>
      </x:c>
      <x:c r="K94" s="14" t="str"/>
      <x:c r="L94" s="14" t="str"/>
      <x:c r="M94" s="14" t="str"/>
      <x:c r="N94" s="14" t="str"/>
      <x:c r="O94" s="15" t="str"/>
      <x:c r="P94" s="14" t="str"/>
      <x:c r="Q94" s="14" t="str"/>
    </x:row>
    <x:row r="95" ht="70" customHeight="1">
      <x:c r="A95" s="12" t="str">
        <x:v>API-001</x:v>
      </x:c>
      <x:c r="B95" s="12" t="str">
        <x:v>ERP, POS and ecommerce intake</x:v>
      </x:c>
      <x:c r="C95" s="12" t="str">
        <x:v>P0</x:v>
      </x:c>
      <x:c r="D95" s="13" t="str">
        <x:v>Not Run</x:v>
      </x:c>
      <x:c r="E95" s="12" t="str">
        <x:v>Valid finalized sale</x:v>
      </x:c>
      <x:c r="F95" s="12" t="str">
        <x:v>POST a valid source-capture sale using the active scoped key. Read its status and both dashboards.</x:v>
      </x:c>
      <x:c r="G95" s="12" t="str">
        <x:v>One accepted source record with stable identifiers, correct totals and one applicable fee.</x:v>
      </x:c>
      <x:c r="H95" s="12" t="str">
        <x:v>D04, D07, D10</x:v>
      </x:c>
      <x:c r="I95" s="12" t="str">
        <x:v>Integration QA</x:v>
      </x:c>
      <x:c r="J95" s="12" t="str">
        <x:v>Staging</x:v>
      </x:c>
      <x:c r="K95" s="14" t="str"/>
      <x:c r="L95" s="14" t="str"/>
      <x:c r="M95" s="14" t="str"/>
      <x:c r="N95" s="14" t="str"/>
      <x:c r="O95" s="15" t="str"/>
      <x:c r="P95" s="14" t="str"/>
      <x:c r="Q95" s="14" t="str"/>
    </x:row>
    <x:row r="96" ht="70" customHeight="1">
      <x:c r="A96" s="11" t="str">
        <x:v>API-002</x:v>
      </x:c>
      <x:c r="B96" s="11" t="str">
        <x:v>ERP, POS and ecommerce intake</x:v>
      </x:c>
      <x:c r="C96" s="11" t="str">
        <x:v>P0</x:v>
      </x:c>
      <x:c r="D96" s="13" t="str">
        <x:v>Not Run</x:v>
      </x:c>
      <x:c r="E96" s="11" t="str">
        <x:v>Authentication variants</x:v>
      </x:c>
      <x:c r="F96" s="11" t="str">
        <x:v>Test missing, invalid, expired, revoked and wrong-scope API keys plus IP restriction mismatch.</x:v>
      </x:c>
      <x:c r="G96" s="11" t="str">
        <x:v>Request fails with the documented safe status/reason and no sale or wallet change.</x:v>
      </x:c>
      <x:c r="H96" s="11" t="str">
        <x:v>D04, D07, D10</x:v>
      </x:c>
      <x:c r="I96" s="11" t="str">
        <x:v>Integration QA</x:v>
      </x:c>
      <x:c r="J96" s="11" t="str">
        <x:v>Staging</x:v>
      </x:c>
      <x:c r="K96" s="14" t="str"/>
      <x:c r="L96" s="14" t="str"/>
      <x:c r="M96" s="14" t="str"/>
      <x:c r="N96" s="14" t="str"/>
      <x:c r="O96" s="15" t="str"/>
      <x:c r="P96" s="14" t="str"/>
      <x:c r="Q96" s="14" t="str"/>
    </x:row>
    <x:row r="97" ht="70" customHeight="1">
      <x:c r="A97" s="12" t="str">
        <x:v>API-003</x:v>
      </x:c>
      <x:c r="B97" s="12" t="str">
        <x:v>ERP, POS and ecommerce intake</x:v>
      </x:c>
      <x:c r="C97" s="12" t="str">
        <x:v>P0</x:v>
      </x:c>
      <x:c r="D97" s="13" t="str">
        <x:v>Not Run</x:v>
      </x:c>
      <x:c r="E97" s="12" t="str">
        <x:v>Merchant and branch binding</x:v>
      </x:c>
      <x:c r="F97" s="12" t="str">
        <x:v>Put another merchant ID, source profile or branch in a request authenticated with A key.</x:v>
      </x:c>
      <x:c r="G97" s="12" t="str">
        <x:v>Server derives ownership from authorized key/scope and rejects mismatches.</x:v>
      </x:c>
      <x:c r="H97" s="12" t="str">
        <x:v>D04, D07, D10</x:v>
      </x:c>
      <x:c r="I97" s="12" t="str">
        <x:v>Integration QA</x:v>
      </x:c>
      <x:c r="J97" s="12" t="str">
        <x:v>Staging</x:v>
      </x:c>
      <x:c r="K97" s="14" t="str"/>
      <x:c r="L97" s="14" t="str"/>
      <x:c r="M97" s="14" t="str"/>
      <x:c r="N97" s="14" t="str"/>
      <x:c r="O97" s="15" t="str"/>
      <x:c r="P97" s="14" t="str"/>
      <x:c r="Q97" s="14" t="str"/>
    </x:row>
    <x:row r="98" ht="70" customHeight="1">
      <x:c r="A98" s="11" t="str">
        <x:v>API-004</x:v>
      </x:c>
      <x:c r="B98" s="11" t="str">
        <x:v>ERP, POS and ecommerce intake</x:v>
      </x:c>
      <x:c r="C98" s="11" t="str">
        <x:v>P0</x:v>
      </x:c>
      <x:c r="D98" s="13" t="str">
        <x:v>Not Run</x:v>
      </x:c>
      <x:c r="E98" s="11" t="str">
        <x:v>Identical retry</x:v>
      </x:c>
      <x:c r="F98" s="11" t="str">
        <x:v>Submit the same event/request identity and identical payload repeatedly.</x:v>
      </x:c>
      <x:c r="G98" s="11" t="str">
        <x:v>One sale and one fee only. Retry returns the existing outcome and identifiers.</x:v>
      </x:c>
      <x:c r="H98" s="11" t="str">
        <x:v>D04, D07, D10</x:v>
      </x:c>
      <x:c r="I98" s="11" t="str">
        <x:v>Integration QA</x:v>
      </x:c>
      <x:c r="J98" s="11" t="str">
        <x:v>Staging</x:v>
      </x:c>
      <x:c r="K98" s="14" t="str"/>
      <x:c r="L98" s="14" t="str"/>
      <x:c r="M98" s="14" t="str"/>
      <x:c r="N98" s="14" t="str"/>
      <x:c r="O98" s="15" t="str"/>
      <x:c r="P98" s="14" t="str"/>
      <x:c r="Q98" s="14" t="str"/>
    </x:row>
    <x:row r="99" ht="70" customHeight="1">
      <x:c r="A99" s="12" t="str">
        <x:v>API-005</x:v>
      </x:c>
      <x:c r="B99" s="12" t="str">
        <x:v>ERP, POS and ecommerce intake</x:v>
      </x:c>
      <x:c r="C99" s="12" t="str">
        <x:v>P0</x:v>
      </x:c>
      <x:c r="D99" s="13" t="str">
        <x:v>Not Run</x:v>
      </x:c>
      <x:c r="E99" s="12" t="str">
        <x:v>Changed-payload conflict</x:v>
      </x:c>
      <x:c r="F99" s="12" t="str">
        <x:v>Reuse an accepted identity with a different amount, discount, buyer or source content.</x:v>
      </x:c>
      <x:c r="G99" s="12" t="str">
        <x:v>Conflict is returned. Original record and wallet remain unchanged.</x:v>
      </x:c>
      <x:c r="H99" s="12" t="str">
        <x:v>D04, D07, D10</x:v>
      </x:c>
      <x:c r="I99" s="12" t="str">
        <x:v>Integration QA</x:v>
      </x:c>
      <x:c r="J99" s="12" t="str">
        <x:v>Staging</x:v>
      </x:c>
      <x:c r="K99" s="14" t="str"/>
      <x:c r="L99" s="14" t="str"/>
      <x:c r="M99" s="14" t="str"/>
      <x:c r="N99" s="14" t="str"/>
      <x:c r="O99" s="15" t="str"/>
      <x:c r="P99" s="14" t="str"/>
      <x:c r="Q99" s="14" t="str"/>
    </x:row>
    <x:row r="100" ht="70" customHeight="1">
      <x:c r="A100" s="11" t="str">
        <x:v>API-006</x:v>
      </x:c>
      <x:c r="B100" s="11" t="str">
        <x:v>ERP, POS and ecommerce intake</x:v>
      </x:c>
      <x:c r="C100" s="11" t="str">
        <x:v>P0</x:v>
      </x:c>
      <x:c r="D100" s="13" t="str">
        <x:v>Not Run</x:v>
      </x:c>
      <x:c r="E100" s="11" t="str">
        <x:v>Concurrent retries</x:v>
      </x:c>
      <x:c r="F100" s="11" t="str">
        <x:v>Send the same valid event concurrently from multiple workers.</x:v>
      </x:c>
      <x:c r="G100" s="11" t="str">
        <x:v>Exactly one acceptance, fee and customer-email request. Other outcomes are documented retries/conflicts.</x:v>
      </x:c>
      <x:c r="H100" s="11" t="str">
        <x:v>D04, D07, D10</x:v>
      </x:c>
      <x:c r="I100" s="11" t="str">
        <x:v>Integration QA</x:v>
      </x:c>
      <x:c r="J100" s="11" t="str">
        <x:v>Isolated lab</x:v>
      </x:c>
      <x:c r="K100" s="14" t="str"/>
      <x:c r="L100" s="14" t="str"/>
      <x:c r="M100" s="14" t="str"/>
      <x:c r="N100" s="14" t="str"/>
      <x:c r="O100" s="15" t="str"/>
      <x:c r="P100" s="14" t="str"/>
      <x:c r="Q100" s="14" t="str"/>
    </x:row>
    <x:row r="101" ht="70" customHeight="1">
      <x:c r="A101" s="12" t="str">
        <x:v>API-007</x:v>
      </x:c>
      <x:c r="B101" s="12" t="str">
        <x:v>ERP, POS and ecommerce intake</x:v>
      </x:c>
      <x:c r="C101" s="12" t="str">
        <x:v>P0</x:v>
      </x:c>
      <x:c r="D101" s="13" t="str">
        <x:v>Not Run</x:v>
      </x:c>
      <x:c r="E101" s="12" t="str">
        <x:v>Lost response after commit</x:v>
      </x:c>
      <x:c r="F101" s="12" t="str">
        <x:v>In lab, drop the client response after successful commit. Retry with the same identity.</x:v>
      </x:c>
      <x:c r="G101" s="12" t="str">
        <x:v>Original acceptance is recovered without a duplicate sale or debit.</x:v>
      </x:c>
      <x:c r="H101" s="12" t="str">
        <x:v>D04, D07, D10</x:v>
      </x:c>
      <x:c r="I101" s="12" t="str">
        <x:v>Integration QA</x:v>
      </x:c>
      <x:c r="J101" s="12" t="str">
        <x:v>Isolated lab</x:v>
      </x:c>
      <x:c r="K101" s="14" t="str"/>
      <x:c r="L101" s="14" t="str"/>
      <x:c r="M101" s="14" t="str"/>
      <x:c r="N101" s="14" t="str"/>
      <x:c r="O101" s="15" t="str"/>
      <x:c r="P101" s="14" t="str"/>
      <x:c r="Q101" s="14" t="str"/>
    </x:row>
    <x:row r="102" ht="70" customHeight="1">
      <x:c r="A102" s="11" t="str">
        <x:v>API-008</x:v>
      </x:c>
      <x:c r="B102" s="11" t="str">
        <x:v>ERP, POS and ecommerce intake</x:v>
      </x:c>
      <x:c r="C102" s="11" t="str">
        <x:v>P0</x:v>
      </x:c>
      <x:c r="D102" s="13" t="str">
        <x:v>Not Run</x:v>
      </x:c>
      <x:c r="E102" s="11" t="str">
        <x:v>Atomic batch</x:v>
      </x:c>
      <x:c r="F102" s="11" t="str">
        <x:v>Submit a valid batch, then a batch with one invalid event and one exceeding total wallet funding.</x:v>
      </x:c>
      <x:c r="G102" s="11" t="str">
        <x:v>Valid batch follows contract. Rejected atomic batch leaves no partial sales, fees, sequence or mail jobs.</x:v>
      </x:c>
      <x:c r="H102" s="11" t="str">
        <x:v>D04, D07, D10</x:v>
      </x:c>
      <x:c r="I102" s="11" t="str">
        <x:v>Integration QA</x:v>
      </x:c>
      <x:c r="J102" s="11" t="str">
        <x:v>Staging</x:v>
      </x:c>
      <x:c r="K102" s="14" t="str"/>
      <x:c r="L102" s="14" t="str"/>
      <x:c r="M102" s="14" t="str"/>
      <x:c r="N102" s="14" t="str"/>
      <x:c r="O102" s="15" t="str"/>
      <x:c r="P102" s="14" t="str"/>
      <x:c r="Q102" s="14" t="str"/>
    </x:row>
    <x:row r="103" ht="70" customHeight="1">
      <x:c r="A103" s="12" t="str">
        <x:v>API-009</x:v>
      </x:c>
      <x:c r="B103" s="12" t="str">
        <x:v>ERP, POS and ecommerce intake</x:v>
      </x:c>
      <x:c r="C103" s="12" t="str">
        <x:v>P1</x:v>
      </x:c>
      <x:c r="D103" s="13" t="str">
        <x:v>Not Run</x:v>
      </x:c>
      <x:c r="E103" s="12" t="str">
        <x:v>API limits and content validation</x:v>
      </x:c>
      <x:c r="F103" s="12" t="str">
        <x:v>Test max payload/batch/item limits, malformed JSON, wrong content type and unknown required schema version.</x:v>
      </x:c>
      <x:c r="G103" s="12" t="str">
        <x:v>Limits and errors match the documented contract without memory exhaustion or partial writes.</x:v>
      </x:c>
      <x:c r="H103" s="12" t="str">
        <x:v>D04, D07, D10</x:v>
      </x:c>
      <x:c r="I103" s="12" t="str">
        <x:v>Integration QA</x:v>
      </x:c>
      <x:c r="J103" s="12" t="str">
        <x:v>Staging</x:v>
      </x:c>
      <x:c r="K103" s="14" t="str"/>
      <x:c r="L103" s="14" t="str"/>
      <x:c r="M103" s="14" t="str"/>
      <x:c r="N103" s="14" t="str"/>
      <x:c r="O103" s="15" t="str"/>
      <x:c r="P103" s="14" t="str"/>
      <x:c r="Q103" s="14" t="str"/>
    </x:row>
    <x:row r="104" ht="70" customHeight="1">
      <x:c r="A104" s="11" t="str">
        <x:v>API-010</x:v>
      </x:c>
      <x:c r="B104" s="11" t="str">
        <x:v>ERP, POS and ecommerce intake</x:v>
      </x:c>
      <x:c r="C104" s="11" t="str">
        <x:v>P0</x:v>
      </x:c>
      <x:c r="D104" s="13" t="str">
        <x:v>Not Run</x:v>
      </x:c>
      <x:c r="E104" s="11" t="str">
        <x:v>Live and Sandbox isolation</x:v>
      </x:c>
      <x:c r="F104" s="11" t="str">
        <x:v>Use separate keys and try environment overrides. Inspect dashboard, wallet, export and email behavior.</x:v>
      </x:c>
      <x:c r="G104" s="11" t="str">
        <x:v>Sandbox stays distinct; it does not debit Live wallet, send real customer email or increase Live sales.</x:v>
      </x:c>
      <x:c r="H104" s="11" t="str">
        <x:v>D04, D07, D10</x:v>
      </x:c>
      <x:c r="I104" s="11" t="str">
        <x:v>Integration QA</x:v>
      </x:c>
      <x:c r="J104" s="11" t="str">
        <x:v>Staging</x:v>
      </x:c>
      <x:c r="K104" s="14" t="str"/>
      <x:c r="L104" s="14" t="str"/>
      <x:c r="M104" s="14" t="str"/>
      <x:c r="N104" s="14" t="str"/>
      <x:c r="O104" s="15" t="str"/>
      <x:c r="P104" s="14" t="str"/>
      <x:c r="Q104" s="14" t="str"/>
    </x:row>
    <x:row r="105" ht="70" customHeight="1">
      <x:c r="A105" s="12" t="str">
        <x:v>API-011</x:v>
      </x:c>
      <x:c r="B105" s="12" t="str">
        <x:v>ERP, POS and ecommerce intake</x:v>
      </x:c>
      <x:c r="C105" s="12" t="str">
        <x:v>P0</x:v>
      </x:c>
      <x:c r="D105" s="13" t="str">
        <x:v>Not Run</x:v>
      </x:c>
      <x:c r="E105" s="12" t="str">
        <x:v>Source authority and registration</x:v>
      </x:c>
      <x:c r="F105" s="12" t="str">
        <x:v>Try active, expired, wrong-merchant and incomplete source profiles.</x:v>
      </x:c>
      <x:c r="G105" s="12" t="str">
        <x:v>Required source review and registration controls are enforced consistently without forged authority.</x:v>
      </x:c>
      <x:c r="H105" s="12" t="str">
        <x:v>D04, D07, D10</x:v>
      </x:c>
      <x:c r="I105" s="12" t="str">
        <x:v>Integration QA</x:v>
      </x:c>
      <x:c r="J105" s="12" t="str">
        <x:v>Staging</x:v>
      </x:c>
      <x:c r="K105" s="14" t="str"/>
      <x:c r="L105" s="14" t="str"/>
      <x:c r="M105" s="14" t="str"/>
      <x:c r="N105" s="14" t="str"/>
      <x:c r="O105" s="15" t="str"/>
      <x:c r="P105" s="14" t="str"/>
      <x:c r="Q105" s="14" t="str"/>
    </x:row>
    <x:row r="106" ht="70" customHeight="1">
      <x:c r="A106" s="11" t="str">
        <x:v>API-012</x:v>
      </x:c>
      <x:c r="B106" s="11" t="str">
        <x:v>ERP, POS and ecommerce intake</x:v>
      </x:c>
      <x:c r="C106" s="11" t="str">
        <x:v>P0</x:v>
      </x:c>
      <x:c r="D106" s="13" t="str">
        <x:v>Not Run</x:v>
      </x:c>
      <x:c r="E106" s="11" t="str">
        <x:v>NUERS status in integrating system</x:v>
      </x:c>
      <x:c r="F106" s="11" t="str">
        <x:v>In a test ERP/POS/ecommerce, show successful, validation-failed, insufficient-wallet, throttled and uncertain requests.</x:v>
      </x:c>
      <x:c r="G106" s="11" t="str">
        <x:v>Each sale shows NUERS Success or Error with actionable reason, reference and safe retry behavior.</x:v>
      </x:c>
      <x:c r="H106" s="11" t="str">
        <x:v>D04, D07, D10</x:v>
      </x:c>
      <x:c r="I106" s="11" t="str">
        <x:v>Integration QA</x:v>
      </x:c>
      <x:c r="J106" s="11" t="str">
        <x:v>Staging</x:v>
      </x:c>
      <x:c r="K106" s="14" t="str"/>
      <x:c r="L106" s="14" t="str"/>
      <x:c r="M106" s="14" t="str"/>
      <x:c r="N106" s="14" t="str"/>
      <x:c r="O106" s="15" t="str"/>
      <x:c r="P106" s="14" t="str"/>
      <x:c r="Q106" s="14" t="str"/>
    </x:row>
    <x:row r="107" ht="70" customHeight="1">
      <x:c r="A107" s="12" t="str">
        <x:v>API-013</x:v>
      </x:c>
      <x:c r="B107" s="12" t="str">
        <x:v>ERP, POS and ecommerce intake</x:v>
      </x:c>
      <x:c r="C107" s="12" t="str">
        <x:v>P0</x:v>
      </x:c>
      <x:c r="D107" s="13" t="str">
        <x:v>Not Run</x:v>
      </x:c>
      <x:c r="E107" s="12" t="str">
        <x:v>BIR status omitted from merchant intake contract</x:v>
      </x:c>
      <x:c r="F107" s="12" t="str">
        <x:v>Inspect current and supported legacy intake/status responses and integration documentation.</x:v>
      </x:c>
      <x:c r="G107" s="12" t="str">
        <x:v>No deprecated BIR Not_verified field is presented as the NUERS transaction outcome.</x:v>
      </x:c>
      <x:c r="H107" s="12" t="str">
        <x:v>D04, D07, D10</x:v>
      </x:c>
      <x:c r="I107" s="12" t="str">
        <x:v>Integration QA</x:v>
      </x:c>
      <x:c r="J107" s="12" t="str">
        <x:v>Staging</x:v>
      </x:c>
      <x:c r="K107" s="14" t="str"/>
      <x:c r="L107" s="14" t="str"/>
      <x:c r="M107" s="14" t="str"/>
      <x:c r="N107" s="14" t="str"/>
      <x:c r="O107" s="15" t="str"/>
      <x:c r="P107" s="14" t="str"/>
      <x:c r="Q107" s="14" t="str"/>
    </x:row>
    <x:row r="108" ht="70" customHeight="1">
      <x:c r="A108" s="11" t="str">
        <x:v>API-014</x:v>
      </x:c>
      <x:c r="B108" s="11" t="str">
        <x:v>ERP, POS and ecommerce intake</x:v>
      </x:c>
      <x:c r="C108" s="11" t="str">
        <x:v>P1</x:v>
      </x:c>
      <x:c r="D108" s="13" t="str">
        <x:v>Not Run</x:v>
      </x:c>
      <x:c r="E108" s="11" t="str">
        <x:v>API status lookup and paging</x:v>
      </x:c>
      <x:c r="F108" s="11" t="str">
        <x:v>Read accepted/failed event status with right and foreign keys; page large result sets.</x:v>
      </x:c>
      <x:c r="G108" s="11" t="str">
        <x:v>Stable bounded responses, correct scope and no payload/credential leakage.</x:v>
      </x:c>
      <x:c r="H108" s="11" t="str">
        <x:v>D04, D07, D10</x:v>
      </x:c>
      <x:c r="I108" s="11" t="str">
        <x:v>Integration QA</x:v>
      </x:c>
      <x:c r="J108" s="11" t="str">
        <x:v>Staging</x:v>
      </x:c>
      <x:c r="K108" s="14" t="str"/>
      <x:c r="L108" s="14" t="str"/>
      <x:c r="M108" s="14" t="str"/>
      <x:c r="N108" s="14" t="str"/>
      <x:c r="O108" s="15" t="str"/>
      <x:c r="P108" s="14" t="str"/>
      <x:c r="Q108" s="14" t="str"/>
    </x:row>
    <x:row r="109" ht="70" customHeight="1">
      <x:c r="A109" s="12" t="str">
        <x:v>API-015</x:v>
      </x:c>
      <x:c r="B109" s="12" t="str">
        <x:v>ERP, POS and ecommerce intake</x:v>
      </x:c>
      <x:c r="C109" s="12" t="str">
        <x:v>P0</x:v>
      </x:c>
      <x:c r="D109" s="13" t="str">
        <x:v>Not Run</x:v>
      </x:c>
      <x:c r="E109" s="12" t="str">
        <x:v>Invalid attempts visible</x:v>
      </x:c>
      <x:c r="F109" s="12" t="str">
        <x:v>Send authenticated invalid payload, insufficient-wallet request and rate-limited request. Open admin failed attempts.</x:v>
      </x:c>
      <x:c r="G109" s="12" t="str">
        <x:v>Received failure appears with merchant, environment, time and safe reason; it is not counted as an accepted sale.</x:v>
      </x:c>
      <x:c r="H109" s="12" t="str">
        <x:v>D04, D07, D10</x:v>
      </x:c>
      <x:c r="I109" s="12" t="str">
        <x:v>Integration QA</x:v>
      </x:c>
      <x:c r="J109" s="12" t="str">
        <x:v>Staging</x:v>
      </x:c>
      <x:c r="K109" s="14" t="str"/>
      <x:c r="L109" s="14" t="str"/>
      <x:c r="M109" s="14" t="str"/>
      <x:c r="N109" s="14" t="str"/>
      <x:c r="O109" s="15" t="str"/>
      <x:c r="P109" s="14" t="str"/>
      <x:c r="Q109" s="14" t="str"/>
    </x:row>
    <x:row r="110" ht="70" customHeight="1">
      <x:c r="A110" s="11" t="str">
        <x:v>API-016</x:v>
      </x:c>
      <x:c r="B110" s="11" t="str">
        <x:v>ERP, POS and ecommerce intake</x:v>
      </x:c>
      <x:c r="C110" s="11" t="str">
        <x:v>P1</x:v>
      </x:c>
      <x:c r="D110" s="13" t="str">
        <x:v>Not Run</x:v>
      </x:c>
      <x:c r="E110" s="11" t="str">
        <x:v>Request never reaches NUERS</x:v>
      </x:c>
      <x:c r="F110" s="11" t="str">
        <x:v>Disconnect the test integration before transmission. Inspect integration outbox and NUERS dashboard.</x:v>
      </x:c>
      <x:c r="G110" s="11" t="str">
        <x:v>Integration shows pending/error locally. NUERS does not invent a received transaction it never observed.</x:v>
      </x:c>
      <x:c r="H110" s="11" t="str">
        <x:v>D04, D07, D10</x:v>
      </x:c>
      <x:c r="I110" s="11" t="str">
        <x:v>Integration QA</x:v>
      </x:c>
      <x:c r="J110" s="11" t="str">
        <x:v>Staging</x:v>
      </x:c>
      <x:c r="K110" s="14" t="str"/>
      <x:c r="L110" s="14" t="str"/>
      <x:c r="M110" s="14" t="str"/>
      <x:c r="N110" s="14" t="str"/>
      <x:c r="O110" s="15" t="str"/>
      <x:c r="P110" s="14" t="str"/>
      <x:c r="Q110" s="14" t="str"/>
    </x:row>
    <x:row r="111" ht="70" customHeight="1">
      <x:c r="A111" s="12" t="str">
        <x:v>API-017</x:v>
      </x:c>
      <x:c r="B111" s="12" t="str">
        <x:v>ERP, POS and ecommerce intake</x:v>
      </x:c>
      <x:c r="C111" s="12" t="str">
        <x:v>P1</x:v>
      </x:c>
      <x:c r="D111" s="13" t="str">
        <x:v>Not Run</x:v>
      </x:c>
      <x:c r="E111" s="12" t="str">
        <x:v>Manual discount end to end</x:v>
      </x:c>
      <x:c r="F111" s="12" t="str">
        <x:v>Send fixed and percentage manual discounts through the API, then compare receipt, admin list, report and export.</x:v>
      </x:c>
      <x:c r="G111" s="12" t="str">
        <x:v>Discount amounts, reasons and totals persist unchanged across every representation.</x:v>
      </x:c>
      <x:c r="H111" s="12" t="str">
        <x:v>D04, D07, D10</x:v>
      </x:c>
      <x:c r="I111" s="12" t="str">
        <x:v>Integration QA</x:v>
      </x:c>
      <x:c r="J111" s="12" t="str">
        <x:v>Staging</x:v>
      </x:c>
      <x:c r="K111" s="14" t="str"/>
      <x:c r="L111" s="14" t="str"/>
      <x:c r="M111" s="14" t="str"/>
      <x:c r="N111" s="14" t="str"/>
      <x:c r="O111" s="15" t="str"/>
      <x:c r="P111" s="14" t="str"/>
      <x:c r="Q111" s="14" t="str"/>
    </x:row>
    <x:row r="112" ht="70" customHeight="1">
      <x:c r="A112" s="11" t="str">
        <x:v>API-018</x:v>
      </x:c>
      <x:c r="B112" s="11" t="str">
        <x:v>ERP, POS and ecommerce intake</x:v>
      </x:c>
      <x:c r="C112" s="11" t="str">
        <x:v>P1</x:v>
      </x:c>
      <x:c r="D112" s="13" t="str">
        <x:v>Not Run</x:v>
      </x:c>
      <x:c r="E112" s="11" t="str">
        <x:v>Contract examples and version parity</x:v>
      </x:c>
      <x:c r="F112" s="11" t="str">
        <x:v>Run valid and invalid examples from website and downloadable API guide against staging.</x:v>
      </x:c>
      <x:c r="G112" s="11" t="str">
        <x:v>Published request fields, status codes, errors and examples match current behavior and declared version.</x:v>
      </x:c>
      <x:c r="H112" s="11" t="str">
        <x:v>D04, D07, D10</x:v>
      </x:c>
      <x:c r="I112" s="11" t="str">
        <x:v>Integration QA</x:v>
      </x:c>
      <x:c r="J112" s="11" t="str">
        <x:v>Staging</x:v>
      </x:c>
      <x:c r="K112" s="14" t="str"/>
      <x:c r="L112" s="14" t="str"/>
      <x:c r="M112" s="14" t="str"/>
      <x:c r="N112" s="14" t="str"/>
      <x:c r="O112" s="15" t="str"/>
      <x:c r="P112" s="14" t="str"/>
      <x:c r="Q112" s="14" t="str"/>
    </x:row>
    <x:row r="113" ht="70" customHeight="1">
      <x:c r="A113" s="12" t="str">
        <x:v>MAIL-001</x:v>
      </x:c>
      <x:c r="B113" s="12" t="str">
        <x:v>Customer email, notifications and webhooks</x:v>
      </x:c>
      <x:c r="C113" s="12" t="str">
        <x:v>P0</x:v>
      </x:c>
      <x:c r="D113" s="13" t="str">
        <x:v>Not Run</x:v>
      </x:c>
      <x:c r="E113" s="12" t="str">
        <x:v>Automatic receipt email</x:v>
      </x:c>
      <x:c r="F113" s="12" t="str">
        <x:v>Finalize a valid Live-mode test sale with a controlled customer email using the staging mail sink.</x:v>
      </x:c>
      <x:c r="G113" s="12" t="str">
        <x:v>One receipt-delivery job for that recipient with the correct merchant document and branding.</x:v>
      </x:c>
      <x:c r="H113" s="12" t="str">
        <x:v>D09, D10, D11</x:v>
      </x:c>
      <x:c r="I113" s="12" t="str">
        <x:v>Integration QA / Merchant / Admin</x:v>
      </x:c>
      <x:c r="J113" s="12" t="str">
        <x:v>Staging</x:v>
      </x:c>
      <x:c r="K113" s="14" t="str"/>
      <x:c r="L113" s="14" t="str"/>
      <x:c r="M113" s="14" t="str"/>
      <x:c r="N113" s="14" t="str"/>
      <x:c r="O113" s="15" t="str"/>
      <x:c r="P113" s="14" t="str"/>
      <x:c r="Q113" s="14" t="str"/>
    </x:row>
    <x:row r="114" ht="70" customHeight="1">
      <x:c r="A114" s="11" t="str">
        <x:v>MAIL-002</x:v>
      </x:c>
      <x:c r="B114" s="11" t="str">
        <x:v>Customer email, notifications and webhooks</x:v>
      </x:c>
      <x:c r="C114" s="11" t="str">
        <x:v>P1</x:v>
      </x:c>
      <x:c r="D114" s="13" t="str">
        <x:v>Not Run</x:v>
      </x:c>
      <x:c r="E114" s="11" t="str">
        <x:v>Absent or invalid email</x:v>
      </x:c>
      <x:c r="F114" s="11" t="str">
        <x:v>Submit without email, then with malformed email.</x:v>
      </x:c>
      <x:c r="G114" s="11" t="str">
        <x:v>Absent email does not schedule mail. Invalid email follows the documented validation result with no partial financial write.</x:v>
      </x:c>
      <x:c r="H114" s="11" t="str">
        <x:v>D09, D10, D11</x:v>
      </x:c>
      <x:c r="I114" s="11" t="str">
        <x:v>Integration QA / Merchant / Admin</x:v>
      </x:c>
      <x:c r="J114" s="11" t="str">
        <x:v>Staging</x:v>
      </x:c>
      <x:c r="K114" s="14" t="str"/>
      <x:c r="L114" s="14" t="str"/>
      <x:c r="M114" s="14" t="str"/>
      <x:c r="N114" s="14" t="str"/>
      <x:c r="O114" s="15" t="str"/>
      <x:c r="P114" s="14" t="str"/>
      <x:c r="Q114" s="14" t="str"/>
    </x:row>
    <x:row r="115" ht="70" customHeight="1">
      <x:c r="A115" s="12" t="str">
        <x:v>MAIL-003</x:v>
      </x:c>
      <x:c r="B115" s="12" t="str">
        <x:v>Customer email, notifications and webhooks</x:v>
      </x:c>
      <x:c r="C115" s="12" t="str">
        <x:v>P0</x:v>
      </x:c>
      <x:c r="D115" s="13" t="str">
        <x:v>Not Run</x:v>
      </x:c>
      <x:c r="E115" s="12" t="str">
        <x:v>Retry and batch mail deduplication</x:v>
      </x:c>
      <x:c r="F115" s="12" t="str">
        <x:v>Retry an accepted emailed sale; reject an atomic batch after validation.</x:v>
      </x:c>
      <x:c r="G115" s="12" t="str">
        <x:v>Retry does not resend automatically; rolled-back batch schedules no receipt mail.</x:v>
      </x:c>
      <x:c r="H115" s="12" t="str">
        <x:v>D09, D10, D11</x:v>
      </x:c>
      <x:c r="I115" s="12" t="str">
        <x:v>Integration QA / Merchant / Admin</x:v>
      </x:c>
      <x:c r="J115" s="12" t="str">
        <x:v>Staging</x:v>
      </x:c>
      <x:c r="K115" s="14" t="str"/>
      <x:c r="L115" s="14" t="str"/>
      <x:c r="M115" s="14" t="str"/>
      <x:c r="N115" s="14" t="str"/>
      <x:c r="O115" s="15" t="str"/>
      <x:c r="P115" s="14" t="str"/>
      <x:c r="Q115" s="14" t="str"/>
    </x:row>
    <x:row r="116" ht="70" customHeight="1">
      <x:c r="A116" s="11" t="str">
        <x:v>MAIL-004</x:v>
      </x:c>
      <x:c r="B116" s="11" t="str">
        <x:v>Customer email, notifications and webhooks</x:v>
      </x:c>
      <x:c r="C116" s="11" t="str">
        <x:v>P1</x:v>
      </x:c>
      <x:c r="D116" s="13" t="str">
        <x:v>Not Run</x:v>
      </x:c>
      <x:c r="E116" s="11" t="str">
        <x:v>SMTP failure and uncertainty</x:v>
      </x:c>
      <x:c r="F116" s="11" t="str">
        <x:v>Simulate rejection, timeout and ambiguous SMTP completion. Check sale outcome and delivery history.</x:v>
      </x:c>
      <x:c r="G116" s="11" t="str">
        <x:v>Sale is not reversed/repeated. Delivery has an accurate retryable/uncertain state and bounded retries.</x:v>
      </x:c>
      <x:c r="H116" s="11" t="str">
        <x:v>D09, D10, D11</x:v>
      </x:c>
      <x:c r="I116" s="11" t="str">
        <x:v>Integration QA / Merchant / Admin</x:v>
      </x:c>
      <x:c r="J116" s="11" t="str">
        <x:v>Isolated lab</x:v>
      </x:c>
      <x:c r="K116" s="14" t="str"/>
      <x:c r="L116" s="14" t="str"/>
      <x:c r="M116" s="14" t="str"/>
      <x:c r="N116" s="14" t="str"/>
      <x:c r="O116" s="15" t="str"/>
      <x:c r="P116" s="14" t="str"/>
      <x:c r="Q116" s="14" t="str"/>
    </x:row>
    <x:row r="117" ht="70" customHeight="1">
      <x:c r="A117" s="12" t="str">
        <x:v>MAIL-005</x:v>
      </x:c>
      <x:c r="B117" s="12" t="str">
        <x:v>Customer email, notifications and webhooks</x:v>
      </x:c>
      <x:c r="C117" s="12" t="str">
        <x:v>P0</x:v>
      </x:c>
      <x:c r="D117" s="13" t="str">
        <x:v>Not Run</x:v>
      </x:c>
      <x:c r="E117" s="12" t="str">
        <x:v>Manual resend authorization</x:v>
      </x:c>
      <x:c r="F117" s="12" t="str">
        <x:v>As authorized merchant, resend to a controlled approved recipient. Attempt foreign-document resend.</x:v>
      </x:c>
      <x:c r="G117" s="12" t="str">
        <x:v>Authorized send is audited with correct attachment. Foreign or unauthorized resend is denied.</x:v>
      </x:c>
      <x:c r="H117" s="12" t="str">
        <x:v>D09, D10, D11</x:v>
      </x:c>
      <x:c r="I117" s="12" t="str">
        <x:v>Integration QA / Merchant / Admin</x:v>
      </x:c>
      <x:c r="J117" s="12" t="str">
        <x:v>Staging</x:v>
      </x:c>
      <x:c r="K117" s="14" t="str"/>
      <x:c r="L117" s="14" t="str"/>
      <x:c r="M117" s="14" t="str"/>
      <x:c r="N117" s="14" t="str"/>
      <x:c r="O117" s="15" t="str"/>
      <x:c r="P117" s="14" t="str"/>
      <x:c r="Q117" s="14" t="str"/>
    </x:row>
    <x:row r="118" ht="70" customHeight="1">
      <x:c r="A118" s="11" t="str">
        <x:v>MAIL-006</x:v>
      </x:c>
      <x:c r="B118" s="11" t="str">
        <x:v>Customer email, notifications and webhooks</x:v>
      </x:c>
      <x:c r="C118" s="11" t="str">
        <x:v>P1</x:v>
      </x:c>
      <x:c r="D118" s="13" t="str">
        <x:v>Not Run</x:v>
      </x:c>
      <x:c r="E118" s="11" t="str">
        <x:v>Notification targeting</x:v>
      </x:c>
      <x:c r="F118" s="11" t="str">
        <x:v>Trigger low balance, profile review and transaction-related notifications for A. Sign in as B.</x:v>
      </x:c>
      <x:c r="G118" s="11" t="str">
        <x:v>Only intended recipients see notifications; read/unread state and links resolve correctly.</x:v>
      </x:c>
      <x:c r="H118" s="11" t="str">
        <x:v>D09, D10, D11</x:v>
      </x:c>
      <x:c r="I118" s="11" t="str">
        <x:v>Integration QA / Merchant / Admin</x:v>
      </x:c>
      <x:c r="J118" s="11" t="str">
        <x:v>Staging</x:v>
      </x:c>
      <x:c r="K118" s="14" t="str"/>
      <x:c r="L118" s="14" t="str"/>
      <x:c r="M118" s="14" t="str"/>
      <x:c r="N118" s="14" t="str"/>
      <x:c r="O118" s="15" t="str"/>
      <x:c r="P118" s="14" t="str"/>
      <x:c r="Q118" s="14" t="str"/>
    </x:row>
    <x:row r="119" ht="70" customHeight="1">
      <x:c r="A119" s="12" t="str">
        <x:v>MAIL-007</x:v>
      </x:c>
      <x:c r="B119" s="12" t="str">
        <x:v>Customer email, notifications and webhooks</x:v>
      </x:c>
      <x:c r="C119" s="12" t="str">
        <x:v>P1</x:v>
      </x:c>
      <x:c r="D119" s="13" t="str">
        <x:v>Not Run</x:v>
      </x:c>
      <x:c r="E119" s="12" t="str">
        <x:v>Notification preferences and SMTP settings</x:v>
      </x:c>
      <x:c r="F119" s="12" t="str">
        <x:v>Change supported preferences; test admin SMTP save/test and non-admin access.</x:v>
      </x:c>
      <x:c r="G119" s="12" t="str">
        <x:v>Preferences apply per user. Secrets stay masked and unauthorized configuration is denied.</x:v>
      </x:c>
      <x:c r="H119" s="12" t="str">
        <x:v>D09, D10, D11</x:v>
      </x:c>
      <x:c r="I119" s="12" t="str">
        <x:v>Integration QA / Merchant / Admin</x:v>
      </x:c>
      <x:c r="J119" s="12" t="str">
        <x:v>Staging</x:v>
      </x:c>
      <x:c r="K119" s="14" t="str"/>
      <x:c r="L119" s="14" t="str"/>
      <x:c r="M119" s="14" t="str"/>
      <x:c r="N119" s="14" t="str"/>
      <x:c r="O119" s="15" t="str"/>
      <x:c r="P119" s="14" t="str"/>
      <x:c r="Q119" s="14" t="str"/>
    </x:row>
    <x:row r="120" ht="70" customHeight="1">
      <x:c r="A120" s="11" t="str">
        <x:v>MAIL-008</x:v>
      </x:c>
      <x:c r="B120" s="11" t="str">
        <x:v>Customer email, notifications and webhooks</x:v>
      </x:c>
      <x:c r="C120" s="11" t="str">
        <x:v>P0</x:v>
      </x:c>
      <x:c r="D120" s="13" t="str">
        <x:v>Not Run</x:v>
      </x:c>
      <x:c r="E120" s="11" t="str">
        <x:v>Signed outbound webhook</x:v>
      </x:c>
      <x:c r="F120" s="11" t="str">
        <x:v>Send to the controlled HTTPS receiver. Verify signature and event identity using documented example code.</x:v>
      </x:c>
      <x:c r="G120" s="11" t="str">
        <x:v>Receiver can authenticate the exact payload; event maps to the correct tenant and environment.</x:v>
      </x:c>
      <x:c r="H120" s="11" t="str">
        <x:v>D09, D10, D11</x:v>
      </x:c>
      <x:c r="I120" s="11" t="str">
        <x:v>Integration QA / Merchant / Admin</x:v>
      </x:c>
      <x:c r="J120" s="11" t="str">
        <x:v>Staging</x:v>
      </x:c>
      <x:c r="K120" s="14" t="str"/>
      <x:c r="L120" s="14" t="str"/>
      <x:c r="M120" s="14" t="str"/>
      <x:c r="N120" s="14" t="str"/>
      <x:c r="O120" s="15" t="str"/>
      <x:c r="P120" s="14" t="str"/>
      <x:c r="Q120" s="14" t="str"/>
    </x:row>
    <x:row r="121" ht="70" customHeight="1">
      <x:c r="A121" s="12" t="str">
        <x:v>MAIL-009</x:v>
      </x:c>
      <x:c r="B121" s="12" t="str">
        <x:v>Customer email, notifications and webhooks</x:v>
      </x:c>
      <x:c r="C121" s="12" t="str">
        <x:v>P0</x:v>
      </x:c>
      <x:c r="D121" s="13" t="str">
        <x:v>Not Run</x:v>
      </x:c>
      <x:c r="E121" s="12" t="str">
        <x:v>Webhook replay, timeout and ordering</x:v>
      </x:c>
      <x:c r="F121" s="12" t="str">
        <x:v>Replay a delivery; return 5xx/timeout; process out-of-order deliveries.</x:v>
      </x:c>
      <x:c r="G121" s="12" t="str">
        <x:v>Receiver deduplicates; NUERS retries within policy and preserves delivery evidence without duplicate sales.</x:v>
      </x:c>
      <x:c r="H121" s="12" t="str">
        <x:v>D09, D10, D11</x:v>
      </x:c>
      <x:c r="I121" s="12" t="str">
        <x:v>Integration QA / Merchant / Admin</x:v>
      </x:c>
      <x:c r="J121" s="12" t="str">
        <x:v>Isolated lab</x:v>
      </x:c>
      <x:c r="K121" s="14" t="str"/>
      <x:c r="L121" s="14" t="str"/>
      <x:c r="M121" s="14" t="str"/>
      <x:c r="N121" s="14" t="str"/>
      <x:c r="O121" s="15" t="str"/>
      <x:c r="P121" s="14" t="str"/>
      <x:c r="Q121" s="14" t="str"/>
    </x:row>
    <x:row r="122" ht="70" customHeight="1">
      <x:c r="A122" s="11" t="str">
        <x:v>MAIL-010</x:v>
      </x:c>
      <x:c r="B122" s="11" t="str">
        <x:v>Customer email, notifications and webhooks</x:v>
      </x:c>
      <x:c r="C122" s="11" t="str">
        <x:v>P0</x:v>
      </x:c>
      <x:c r="D122" s="13" t="str">
        <x:v>Not Run</x:v>
      </x:c>
      <x:c r="E122" s="11" t="str">
        <x:v>Webhook target security</x:v>
      </x:c>
      <x:c r="F122" s="11" t="str">
        <x:v>Attempt private-network/loopback target, redirect and another merchant webhook configuration.</x:v>
      </x:c>
      <x:c r="G122" s="11" t="str">
        <x:v>Unsafe or unauthorized destinations are rejected. Secrets are not disclosed.</x:v>
      </x:c>
      <x:c r="H122" s="11" t="str">
        <x:v>D09, D10, D11</x:v>
      </x:c>
      <x:c r="I122" s="11" t="str">
        <x:v>Integration QA / Merchant / Admin</x:v>
      </x:c>
      <x:c r="J122" s="11" t="str">
        <x:v>Isolated lab</x:v>
      </x:c>
      <x:c r="K122" s="14" t="str"/>
      <x:c r="L122" s="14" t="str"/>
      <x:c r="M122" s="14" t="str"/>
      <x:c r="N122" s="14" t="str"/>
      <x:c r="O122" s="15" t="str"/>
      <x:c r="P122" s="14" t="str"/>
      <x:c r="Q122" s="14" t="str"/>
    </x:row>
    <x:row r="123" ht="70" customHeight="1">
      <x:c r="A123" s="12" t="str">
        <x:v>WAL-001</x:v>
      </x:c>
      <x:c r="B123" s="12" t="str">
        <x:v>Wallet, deposits and pricing</x:v>
      </x:c>
      <x:c r="C123" s="12" t="str">
        <x:v>P0</x:v>
      </x:c>
      <x:c r="D123" s="13" t="str">
        <x:v>Not Run</x:v>
      </x:c>
      <x:c r="E123" s="12" t="str">
        <x:v>Zero minimum charges every eligible sale</x:v>
      </x:c>
      <x:c r="F123" s="12" t="str">
        <x:v>Set test fee PHP 3 and minimum PHP 0. Accept five distinct finalized eligible Live-mode sales.</x:v>
      </x:c>
      <x:c r="G123" s="12" t="str">
        <x:v>Total NUERS charges PHP 15. No amount exemption applies to valid eligible sales.</x:v>
      </x:c>
      <x:c r="H123" s="12" t="str">
        <x:v>D07, D12</x:v>
      </x:c>
      <x:c r="I123" s="12" t="str">
        <x:v>Merchant / Super Admin / finance QA</x:v>
      </x:c>
      <x:c r="J123" s="12" t="str">
        <x:v>Staging</x:v>
      </x:c>
      <x:c r="K123" s="14" t="str"/>
      <x:c r="L123" s="14" t="str"/>
      <x:c r="M123" s="14" t="str"/>
      <x:c r="N123" s="14" t="str"/>
      <x:c r="O123" s="15" t="str"/>
      <x:c r="P123" s="14" t="str"/>
      <x:c r="Q123" s="14" t="str"/>
    </x:row>
    <x:row r="124" ht="70" customHeight="1">
      <x:c r="A124" s="11" t="str">
        <x:v>WAL-002</x:v>
      </x:c>
      <x:c r="B124" s="11" t="str">
        <x:v>Wallet, deposits and pricing</x:v>
      </x:c>
      <x:c r="C124" s="11" t="str">
        <x:v>P0</x:v>
      </x:c>
      <x:c r="D124" s="13" t="str">
        <x:v>Not Run</x:v>
      </x:c>
      <x:c r="E124" s="11" t="str">
        <x:v>Configurable minimum boundaries</x:v>
      </x:c>
      <x:c r="F124" s="11" t="str">
        <x:v>Set minimum PHP 500 and fee PHP 3. Submit valid amounts PHP 499.99, 500.00 and 500.01.</x:v>
      </x:c>
      <x:c r="G124" s="11" t="str">
        <x:v>Below minimum is uncharged; at/above minimum charged once each. Admin configuration is authoritative.</x:v>
      </x:c>
      <x:c r="H124" s="11" t="str">
        <x:v>D07, D12</x:v>
      </x:c>
      <x:c r="I124" s="11" t="str">
        <x:v>Merchant / Super Admin / finance QA</x:v>
      </x:c>
      <x:c r="J124" s="11" t="str">
        <x:v>Staging</x:v>
      </x:c>
      <x:c r="K124" s="14" t="str"/>
      <x:c r="L124" s="14" t="str"/>
      <x:c r="M124" s="14" t="str"/>
      <x:c r="N124" s="14" t="str"/>
      <x:c r="O124" s="15" t="str"/>
      <x:c r="P124" s="14" t="str"/>
      <x:c r="Q124" s="14" t="str"/>
    </x:row>
    <x:row r="125" ht="70" customHeight="1">
      <x:c r="A125" s="12" t="str">
        <x:v>WAL-003</x:v>
      </x:c>
      <x:c r="B125" s="12" t="str">
        <x:v>Wallet, deposits and pricing</x:v>
      </x:c>
      <x:c r="C125" s="12" t="str">
        <x:v>P0</x:v>
      </x:c>
      <x:c r="D125" s="13" t="str">
        <x:v>Not Run</x:v>
      </x:c>
      <x:c r="E125" s="12" t="str">
        <x:v>Pricing permission and history</x:v>
      </x:c>
      <x:c r="F125" s="12" t="str">
        <x:v>Change fee/minimum as Super Admin; try as merchant/ordinary unauthorized role. Reopen earlier debits.</x:v>
      </x:c>
      <x:c r="G125" s="12" t="str">
        <x:v>Only authorized pricing changes work. Historical fees retain their original rate/revision.</x:v>
      </x:c>
      <x:c r="H125" s="12" t="str">
        <x:v>D07, D12</x:v>
      </x:c>
      <x:c r="I125" s="12" t="str">
        <x:v>Merchant / Super Admin / finance QA</x:v>
      </x:c>
      <x:c r="J125" s="12" t="str">
        <x:v>Staging</x:v>
      </x:c>
      <x:c r="K125" s="14" t="str"/>
      <x:c r="L125" s="14" t="str"/>
      <x:c r="M125" s="14" t="str"/>
      <x:c r="N125" s="14" t="str"/>
      <x:c r="O125" s="15" t="str"/>
      <x:c r="P125" s="14" t="str"/>
      <x:c r="Q125" s="14" t="str"/>
    </x:row>
    <x:row r="126" ht="70" customHeight="1">
      <x:c r="A126" s="11" t="str">
        <x:v>WAL-004</x:v>
      </x:c>
      <x:c r="B126" s="11" t="str">
        <x:v>Wallet, deposits and pricing</x:v>
      </x:c>
      <x:c r="C126" s="11" t="str">
        <x:v>P0</x:v>
      </x:c>
      <x:c r="D126" s="13" t="str">
        <x:v>Not Run</x:v>
      </x:c>
      <x:c r="E126" s="11" t="str">
        <x:v>Exact and insufficient balance</x:v>
      </x:c>
      <x:c r="F126" s="11" t="str">
        <x:v>Use PHP 3 balance for a PHP 3 fee; then PHP 2.99. Repeat through API and portal.</x:v>
      </x:c>
      <x:c r="G126" s="11" t="str">
        <x:v>Exact funding succeeds once. Insufficient balance rejects without sale, sequence consumption or negative balance.</x:v>
      </x:c>
      <x:c r="H126" s="11" t="str">
        <x:v>D07, D12</x:v>
      </x:c>
      <x:c r="I126" s="11" t="str">
        <x:v>Merchant / Super Admin / finance QA</x:v>
      </x:c>
      <x:c r="J126" s="11" t="str">
        <x:v>Staging</x:v>
      </x:c>
      <x:c r="K126" s="14" t="str"/>
      <x:c r="L126" s="14" t="str"/>
      <x:c r="M126" s="14" t="str"/>
      <x:c r="N126" s="14" t="str"/>
      <x:c r="O126" s="15" t="str"/>
      <x:c r="P126" s="14" t="str"/>
      <x:c r="Q126" s="14" t="str"/>
    </x:row>
    <x:row r="127" ht="70" customHeight="1">
      <x:c r="A127" s="12" t="str">
        <x:v>WAL-005</x:v>
      </x:c>
      <x:c r="B127" s="12" t="str">
        <x:v>Wallet, deposits and pricing</x:v>
      </x:c>
      <x:c r="C127" s="12" t="str">
        <x:v>P0</x:v>
      </x:c>
      <x:c r="D127" s="13" t="str">
        <x:v>Not Run</x:v>
      </x:c>
      <x:c r="E127" s="12" t="str">
        <x:v>Concurrent wallet spends</x:v>
      </x:c>
      <x:c r="F127" s="12" t="str">
        <x:v>Start several paid issues simultaneously with funds sufficient for only some.</x:v>
      </x:c>
      <x:c r="G127" s="12" t="str">
        <x:v>Successful commits reconcile to available funds; no overdraft, duplicate fee or partial accepted record.</x:v>
      </x:c>
      <x:c r="H127" s="12" t="str">
        <x:v>D07, D12</x:v>
      </x:c>
      <x:c r="I127" s="12" t="str">
        <x:v>Merchant / Super Admin / finance QA</x:v>
      </x:c>
      <x:c r="J127" s="12" t="str">
        <x:v>Isolated lab</x:v>
      </x:c>
      <x:c r="K127" s="14" t="str"/>
      <x:c r="L127" s="14" t="str"/>
      <x:c r="M127" s="14" t="str"/>
      <x:c r="N127" s="14" t="str"/>
      <x:c r="O127" s="15" t="str"/>
      <x:c r="P127" s="14" t="str"/>
      <x:c r="Q127" s="14" t="str"/>
    </x:row>
    <x:row r="128" ht="70" customHeight="1">
      <x:c r="A128" s="11" t="str">
        <x:v>WAL-006</x:v>
      </x:c>
      <x:c r="B128" s="11" t="str">
        <x:v>Wallet, deposits and pricing</x:v>
      </x:c>
      <x:c r="C128" s="11" t="str">
        <x:v>P0</x:v>
      </x:c>
      <x:c r="D128" s="13" t="str">
        <x:v>Not Run</x:v>
      </x:c>
      <x:c r="E128" s="11" t="str">
        <x:v>Draft and supplementary fee policy</x:v>
      </x:c>
      <x:c r="F128" s="11" t="str">
        <x:v>Save draft, publish once, then create supported payment copy/adjustment and retry it.</x:v>
      </x:c>
      <x:c r="G128" s="11" t="str">
        <x:v>Funding check follows policy; actual fee is once per eligible finalized sale, without duplicate charging.</x:v>
      </x:c>
      <x:c r="H128" s="11" t="str">
        <x:v>D07, D12</x:v>
      </x:c>
      <x:c r="I128" s="11" t="str">
        <x:v>Merchant / Super Admin / finance QA</x:v>
      </x:c>
      <x:c r="J128" s="11" t="str">
        <x:v>Staging</x:v>
      </x:c>
      <x:c r="K128" s="14" t="str"/>
      <x:c r="L128" s="14" t="str"/>
      <x:c r="M128" s="14" t="str"/>
      <x:c r="N128" s="14" t="str"/>
      <x:c r="O128" s="15" t="str"/>
      <x:c r="P128" s="14" t="str"/>
      <x:c r="Q128" s="14" t="str"/>
    </x:row>
    <x:row r="129" ht="70" customHeight="1">
      <x:c r="A129" s="12" t="str">
        <x:v>WAL-007</x:v>
      </x:c>
      <x:c r="B129" s="12" t="str">
        <x:v>Wallet, deposits and pricing</x:v>
      </x:c>
      <x:c r="C129" s="12" t="str">
        <x:v>P1</x:v>
      </x:c>
      <x:c r="D129" s="13" t="str">
        <x:v>Not Run</x:v>
      </x:c>
      <x:c r="E129" s="12" t="str">
        <x:v>Merchant wallet card and Top-Up</x:v>
      </x:c>
      <x:c r="F129" s="12" t="str">
        <x:v>Compare dashboard Available Wallet card with Wallet page and posted ledger. Open Top-Up.</x:v>
      </x:c>
      <x:c r="G129" s="12" t="str">
        <x:v>Same available amount with peso currency; button opens the correct funding workflow.</x:v>
      </x:c>
      <x:c r="H129" s="12" t="str">
        <x:v>D07, D12</x:v>
      </x:c>
      <x:c r="I129" s="12" t="str">
        <x:v>Merchant / Super Admin / finance QA</x:v>
      </x:c>
      <x:c r="J129" s="12" t="str">
        <x:v>Staging</x:v>
      </x:c>
      <x:c r="K129" s="14" t="str"/>
      <x:c r="L129" s="14" t="str"/>
      <x:c r="M129" s="14" t="str"/>
      <x:c r="N129" s="14" t="str"/>
      <x:c r="O129" s="15" t="str"/>
      <x:c r="P129" s="14" t="str"/>
      <x:c r="Q129" s="14" t="str"/>
    </x:row>
    <x:row r="130" ht="70" customHeight="1">
      <x:c r="A130" s="11" t="str">
        <x:v>WAL-008</x:v>
      </x:c>
      <x:c r="B130" s="11" t="str">
        <x:v>Wallet, deposits and pricing</x:v>
      </x:c>
      <x:c r="C130" s="11" t="str">
        <x:v>P0</x:v>
      </x:c>
      <x:c r="D130" s="13" t="str">
        <x:v>Not Run</x:v>
      </x:c>
      <x:c r="E130" s="11" t="str">
        <x:v>Submit funding request</x:v>
      </x:c>
      <x:c r="F130" s="11" t="str">
        <x:v>Request top-up with required method/reference/evidence. Re-submit same request.</x:v>
      </x:c>
      <x:c r="G130" s="11" t="str">
        <x:v>One pending request; available balance is unchanged until approved credit.</x:v>
      </x:c>
      <x:c r="H130" s="11" t="str">
        <x:v>D07, D12</x:v>
      </x:c>
      <x:c r="I130" s="11" t="str">
        <x:v>Merchant / Super Admin / finance QA</x:v>
      </x:c>
      <x:c r="J130" s="11" t="str">
        <x:v>Staging</x:v>
      </x:c>
      <x:c r="K130" s="14" t="str"/>
      <x:c r="L130" s="14" t="str"/>
      <x:c r="M130" s="14" t="str"/>
      <x:c r="N130" s="14" t="str"/>
      <x:c r="O130" s="15" t="str"/>
      <x:c r="P130" s="14" t="str"/>
      <x:c r="Q130" s="14" t="str"/>
    </x:row>
    <x:row r="131" ht="70" customHeight="1">
      <x:c r="A131" s="12" t="str">
        <x:v>WAL-009</x:v>
      </x:c>
      <x:c r="B131" s="12" t="str">
        <x:v>Wallet, deposits and pricing</x:v>
      </x:c>
      <x:c r="C131" s="12" t="str">
        <x:v>P0</x:v>
      </x:c>
      <x:c r="D131" s="13" t="str">
        <x:v>Not Run</x:v>
      </x:c>
      <x:c r="E131" s="12" t="str">
        <x:v>Independent top-up approval</x:v>
      </x:c>
      <x:c r="F131" s="12" t="str">
        <x:v>Review a request as authorized independent reviewer; test self-approval and repeated approval.</x:v>
      </x:c>
      <x:c r="G131" s="12" t="str">
        <x:v>Policy is enforced. Exactly one posted credit; requester cannot bypass independent review.</x:v>
      </x:c>
      <x:c r="H131" s="12" t="str">
        <x:v>D07, D12</x:v>
      </x:c>
      <x:c r="I131" s="12" t="str">
        <x:v>Merchant / Super Admin / finance QA</x:v>
      </x:c>
      <x:c r="J131" s="12" t="str">
        <x:v>Staging</x:v>
      </x:c>
      <x:c r="K131" s="14" t="str"/>
      <x:c r="L131" s="14" t="str"/>
      <x:c r="M131" s="14" t="str"/>
      <x:c r="N131" s="14" t="str"/>
      <x:c r="O131" s="15" t="str"/>
      <x:c r="P131" s="14" t="str"/>
      <x:c r="Q131" s="14" t="str"/>
    </x:row>
    <x:row r="132" ht="70" customHeight="1">
      <x:c r="A132" s="11" t="str">
        <x:v>WAL-010</x:v>
      </x:c>
      <x:c r="B132" s="11" t="str">
        <x:v>Wallet, deposits and pricing</x:v>
      </x:c>
      <x:c r="C132" s="11" t="str">
        <x:v>P0</x:v>
      </x:c>
      <x:c r="D132" s="13" t="str">
        <x:v>Not Run</x:v>
      </x:c>
      <x:c r="E132" s="11" t="str">
        <x:v>Reject or cancel funding</x:v>
      </x:c>
      <x:c r="F132" s="11" t="str">
        <x:v>Reject/cancel a pending request with reason; retry approval afterward.</x:v>
      </x:c>
      <x:c r="G132" s="11" t="str">
        <x:v>No credited funds. Final state and review history are consistent.</x:v>
      </x:c>
      <x:c r="H132" s="11" t="str">
        <x:v>D07, D12</x:v>
      </x:c>
      <x:c r="I132" s="11" t="str">
        <x:v>Merchant / Super Admin / finance QA</x:v>
      </x:c>
      <x:c r="J132" s="11" t="str">
        <x:v>Staging</x:v>
      </x:c>
      <x:c r="K132" s="14" t="str"/>
      <x:c r="L132" s="14" t="str"/>
      <x:c r="M132" s="14" t="str"/>
      <x:c r="N132" s="14" t="str"/>
      <x:c r="O132" s="15" t="str"/>
      <x:c r="P132" s="14" t="str"/>
      <x:c r="Q132" s="14" t="str"/>
    </x:row>
    <x:row r="133" ht="70" customHeight="1">
      <x:c r="A133" s="12" t="str">
        <x:v>WAL-011</x:v>
      </x:c>
      <x:c r="B133" s="12" t="str">
        <x:v>Wallet, deposits and pricing</x:v>
      </x:c>
      <x:c r="C133" s="12" t="str">
        <x:v>P0</x:v>
      </x:c>
      <x:c r="D133" s="13" t="str">
        <x:v>Not Run</x:v>
      </x:c>
      <x:c r="E133" s="12" t="str">
        <x:v>Withdrawals and ledger integrity</x:v>
      </x:c>
      <x:c r="F133" s="12" t="str">
        <x:v>Exercise permitted withdrawal/adjustment with evidence, then tampered or duplicate identifiers in the lab.</x:v>
      </x:c>
      <x:c r="G133" s="12" t="str">
        <x:v>Ledger stays balanced, immutable and attributable; unsupported debit/credit is denied.</x:v>
      </x:c>
      <x:c r="H133" s="12" t="str">
        <x:v>D07, D12</x:v>
      </x:c>
      <x:c r="I133" s="12" t="str">
        <x:v>Merchant / Super Admin / finance QA</x:v>
      </x:c>
      <x:c r="J133" s="12" t="str">
        <x:v>Isolated lab</x:v>
      </x:c>
      <x:c r="K133" s="14" t="str"/>
      <x:c r="L133" s="14" t="str"/>
      <x:c r="M133" s="14" t="str"/>
      <x:c r="N133" s="14" t="str"/>
      <x:c r="O133" s="15" t="str"/>
      <x:c r="P133" s="14" t="str"/>
      <x:c r="Q133" s="14" t="str"/>
    </x:row>
    <x:row r="134" ht="70" customHeight="1">
      <x:c r="A134" s="11" t="str">
        <x:v>WAL-012</x:v>
      </x:c>
      <x:c r="B134" s="11" t="str">
        <x:v>Wallet, deposits and pricing</x:v>
      </x:c>
      <x:c r="C134" s="11" t="str">
        <x:v>P1</x:v>
      </x:c>
      <x:c r="D134" s="13" t="str">
        <x:v>Not Run</x:v>
      </x:c>
      <x:c r="E134" s="11" t="str">
        <x:v>Wallet history and statements</x:v>
      </x:c>
      <x:c r="F134" s="11" t="str">
        <x:v>Filter date/type/status; page and export wallet entries. Compare opening + credits - debits = closing.</x:v>
      </x:c>
      <x:c r="G134" s="11" t="str">
        <x:v>Statement and displayed balances reconcile in centavos for the same scope.</x:v>
      </x:c>
      <x:c r="H134" s="11" t="str">
        <x:v>D07, D12</x:v>
      </x:c>
      <x:c r="I134" s="11" t="str">
        <x:v>Merchant / Super Admin / finance QA</x:v>
      </x:c>
      <x:c r="J134" s="11" t="str">
        <x:v>Staging</x:v>
      </x:c>
      <x:c r="K134" s="14" t="str"/>
      <x:c r="L134" s="14" t="str"/>
      <x:c r="M134" s="14" t="str"/>
      <x:c r="N134" s="14" t="str"/>
      <x:c r="O134" s="15" t="str"/>
      <x:c r="P134" s="14" t="str"/>
      <x:c r="Q134" s="14" t="str"/>
    </x:row>
    <x:row r="135" ht="70" customHeight="1">
      <x:c r="A135" s="12" t="str">
        <x:v>WAL-013</x:v>
      </x:c>
      <x:c r="B135" s="12" t="str">
        <x:v>Wallet, deposits and pricing</x:v>
      </x:c>
      <x:c r="C135" s="12" t="str">
        <x:v>P1</x:v>
      </x:c>
      <x:c r="D135" s="13" t="str">
        <x:v>Not Run</x:v>
      </x:c>
      <x:c r="E135" s="12" t="str">
        <x:v>Low-balance threshold</x:v>
      </x:c>
      <x:c r="F135" s="12" t="str">
        <x:v>Set permitted threshold; cross it using test transactions; replenish and cross again.</x:v>
      </x:c>
      <x:c r="G135" s="12" t="str">
        <x:v>Correct targeted notices and current balance; no alert storm or cross-merchant notification.</x:v>
      </x:c>
      <x:c r="H135" s="12" t="str">
        <x:v>D07, D12</x:v>
      </x:c>
      <x:c r="I135" s="12" t="str">
        <x:v>Merchant / Super Admin / finance QA</x:v>
      </x:c>
      <x:c r="J135" s="12" t="str">
        <x:v>Staging</x:v>
      </x:c>
      <x:c r="K135" s="14" t="str"/>
      <x:c r="L135" s="14" t="str"/>
      <x:c r="M135" s="14" t="str"/>
      <x:c r="N135" s="14" t="str"/>
      <x:c r="O135" s="15" t="str"/>
      <x:c r="P135" s="14" t="str"/>
      <x:c r="Q135" s="14" t="str"/>
    </x:row>
    <x:row r="136" ht="70" customHeight="1">
      <x:c r="A136" s="11" t="str">
        <x:v>WAL-014</x:v>
      </x:c>
      <x:c r="B136" s="11" t="str">
        <x:v>Wallet, deposits and pricing</x:v>
      </x:c>
      <x:c r="C136" s="11" t="str">
        <x:v>P1</x:v>
      </x:c>
      <x:c r="D136" s="13" t="str">
        <x:v>Not Run</x:v>
      </x:c>
      <x:c r="E136" s="11" t="str">
        <x:v>Admin wallet totals</x:v>
      </x:c>
      <x:c r="F136" s="11" t="str">
        <x:v>Compare total available wallet, credited deposits, fees, withdrawals and pending requests against two-merchant fixture.</x:v>
      </x:c>
      <x:c r="G136" s="11" t="str">
        <x:v>Each metric uses its labeled basis. Pending deposits and Sandbox sales are excluded from posted Live balances.</x:v>
      </x:c>
      <x:c r="H136" s="11" t="str">
        <x:v>D07, D12</x:v>
      </x:c>
      <x:c r="I136" s="11" t="str">
        <x:v>Merchant / Super Admin / finance QA</x:v>
      </x:c>
      <x:c r="J136" s="11" t="str">
        <x:v>Staging</x:v>
      </x:c>
      <x:c r="K136" s="14" t="str"/>
      <x:c r="L136" s="14" t="str"/>
      <x:c r="M136" s="14" t="str"/>
      <x:c r="N136" s="14" t="str"/>
      <x:c r="O136" s="15" t="str"/>
      <x:c r="P136" s="14" t="str"/>
      <x:c r="Q136" s="14" t="str"/>
    </x:row>
    <x:row r="137" ht="70" customHeight="1">
      <x:c r="A137" s="12" t="str">
        <x:v>DASH-001</x:v>
      </x:c>
      <x:c r="B137" s="12" t="str">
        <x:v>Dashboards and live monitoring</x:v>
      </x:c>
      <x:c r="C137" s="12" t="str">
        <x:v>P0</x:v>
      </x:c>
      <x:c r="D137" s="13" t="str">
        <x:v>Not Run</x:v>
      </x:c>
      <x:c r="E137" s="12" t="str">
        <x:v>Sales and transaction reconciliation</x:v>
      </x:c>
      <x:c r="F137" s="12" t="str">
        <x:v>Create a fixture with issued, failed, pending, cancelled and supplementary records. Compare admin and merchant metrics.</x:v>
      </x:c>
      <x:c r="G137" s="12" t="str">
        <x:v>Counts and amounts use documented definitions; payment copies and failed attempts are not double-counted as sales.</x:v>
      </x:c>
      <x:c r="H137" s="12" t="str">
        <x:v>D04, D07, D13</x:v>
      </x:c>
      <x:c r="I137" s="12" t="str">
        <x:v>Super Admin / Merchant</x:v>
      </x:c>
      <x:c r="J137" s="12" t="str">
        <x:v>Staging</x:v>
      </x:c>
      <x:c r="K137" s="14" t="str"/>
      <x:c r="L137" s="14" t="str"/>
      <x:c r="M137" s="14" t="str"/>
      <x:c r="N137" s="14" t="str"/>
      <x:c r="O137" s="15" t="str"/>
      <x:c r="P137" s="14" t="str"/>
      <x:c r="Q137" s="14" t="str"/>
    </x:row>
    <x:row r="138" ht="70" customHeight="1">
      <x:c r="A138" s="11" t="str">
        <x:v>DASH-002</x:v>
      </x:c>
      <x:c r="B138" s="11" t="str">
        <x:v>Dashboards and live monitoring</x:v>
      </x:c>
      <x:c r="C138" s="11" t="str">
        <x:v>P1</x:v>
      </x:c>
      <x:c r="D138" s="13" t="str">
        <x:v>Not Run</x:v>
      </x:c>
      <x:c r="E138" s="11" t="str">
        <x:v>Admin financial widgets</x:v>
      </x:c>
      <x:c r="F138" s="11" t="str">
        <x:v>Check transaction amount, NUERS charged, merchant wallet, deposits and Registered Merchants.</x:v>
      </x:c>
      <x:c r="G138" s="11" t="str">
        <x:v>All widgets match independent fixture totals, correct labels, period and peso formatting.</x:v>
      </x:c>
      <x:c r="H138" s="11" t="str">
        <x:v>D04, D07, D13</x:v>
      </x:c>
      <x:c r="I138" s="11" t="str">
        <x:v>Super Admin / Merchant</x:v>
      </x:c>
      <x:c r="J138" s="11" t="str">
        <x:v>Staging</x:v>
      </x:c>
      <x:c r="K138" s="14" t="str"/>
      <x:c r="L138" s="14" t="str"/>
      <x:c r="M138" s="14" t="str"/>
      <x:c r="N138" s="14" t="str"/>
      <x:c r="O138" s="15" t="str"/>
      <x:c r="P138" s="14" t="str"/>
      <x:c r="Q138" s="14" t="str"/>
    </x:row>
    <x:row r="139" ht="70" customHeight="1">
      <x:c r="A139" s="12" t="str">
        <x:v>DASH-003</x:v>
      </x:c>
      <x:c r="B139" s="12" t="str">
        <x:v>Dashboards and live monitoring</x:v>
      </x:c>
      <x:c r="C139" s="12" t="str">
        <x:v>P1</x:v>
      </x:c>
      <x:c r="D139" s="13" t="str">
        <x:v>Not Run</x:v>
      </x:c>
      <x:c r="E139" s="12" t="str">
        <x:v>Merchant daily metrics</x:v>
      </x:c>
      <x:c r="F139" s="12" t="str">
        <x:v>Compare daily sales, issued invoices, transactions, failures and wallet with merchant source data.</x:v>
      </x:c>
      <x:c r="G139" s="12" t="str">
        <x:v>Only that merchant and the stated PHT period are included.</x:v>
      </x:c>
      <x:c r="H139" s="12" t="str">
        <x:v>D04, D07, D13</x:v>
      </x:c>
      <x:c r="I139" s="12" t="str">
        <x:v>Super Admin / Merchant</x:v>
      </x:c>
      <x:c r="J139" s="12" t="str">
        <x:v>Staging</x:v>
      </x:c>
      <x:c r="K139" s="14" t="str"/>
      <x:c r="L139" s="14" t="str"/>
      <x:c r="M139" s="14" t="str"/>
      <x:c r="N139" s="14" t="str"/>
      <x:c r="O139" s="15" t="str"/>
      <x:c r="P139" s="14" t="str"/>
      <x:c r="Q139" s="14" t="str"/>
    </x:row>
    <x:row r="140" ht="70" customHeight="1">
      <x:c r="A140" s="11" t="str">
        <x:v>DASH-004</x:v>
      </x:c>
      <x:c r="B140" s="11" t="str">
        <x:v>Dashboards and live monitoring</x:v>
      </x:c>
      <x:c r="C140" s="11" t="str">
        <x:v>P1</x:v>
      </x:c>
      <x:c r="D140" s="13" t="str">
        <x:v>Not Run</x:v>
      </x:c>
      <x:c r="E140" s="11" t="str">
        <x:v>Live charts and merchant connections</x:v>
      </x:c>
      <x:c r="F140" s="11" t="str">
        <x:v>Create new activity, then inspect flow, distribution, region and connection tables.</x:v>
      </x:c>
      <x:c r="G140" s="11" t="str">
        <x:v>Charts and timestamps reflect observed activity. Historical rows are not replayed as current traffic.</x:v>
      </x:c>
      <x:c r="H140" s="11" t="str">
        <x:v>D04, D07, D13</x:v>
      </x:c>
      <x:c r="I140" s="11" t="str">
        <x:v>Super Admin / Merchant</x:v>
      </x:c>
      <x:c r="J140" s="11" t="str">
        <x:v>Staging</x:v>
      </x:c>
      <x:c r="K140" s="14" t="str"/>
      <x:c r="L140" s="14" t="str"/>
      <x:c r="M140" s="14" t="str"/>
      <x:c r="N140" s="14" t="str"/>
      <x:c r="O140" s="15" t="str"/>
      <x:c r="P140" s="14" t="str"/>
      <x:c r="Q140" s="14" t="str"/>
    </x:row>
    <x:row r="141" ht="70" customHeight="1">
      <x:c r="A141" s="12" t="str">
        <x:v>DASH-005</x:v>
      </x:c>
      <x:c r="B141" s="12" t="str">
        <x:v>Dashboards and live monitoring</x:v>
      </x:c>
      <x:c r="C141" s="12" t="str">
        <x:v>P1</x:v>
      </x:c>
      <x:c r="D141" s="13" t="str">
        <x:v>Not Run</x:v>
      </x:c>
      <x:c r="E141" s="12" t="str">
        <x:v>Today and midnight boundary</x:v>
      </x:c>
      <x:c r="F141" s="12" t="str">
        <x:v>Use records at 23:59:59 and 00:00:00 PHT, prior days and future times.</x:v>
      </x:c>
      <x:c r="G141" s="12" t="str">
        <x:v>Correct PHT date boundaries; future and unrelated historical records do not inflate Today.</x:v>
      </x:c>
      <x:c r="H141" s="12" t="str">
        <x:v>D04, D07, D13</x:v>
      </x:c>
      <x:c r="I141" s="12" t="str">
        <x:v>Super Admin / Merchant</x:v>
      </x:c>
      <x:c r="J141" s="12" t="str">
        <x:v>Staging</x:v>
      </x:c>
      <x:c r="K141" s="14" t="str"/>
      <x:c r="L141" s="14" t="str"/>
      <x:c r="M141" s="14" t="str"/>
      <x:c r="N141" s="14" t="str"/>
      <x:c r="O141" s="15" t="str"/>
      <x:c r="P141" s="14" t="str"/>
      <x:c r="Q141" s="14" t="str"/>
    </x:row>
    <x:row r="142" ht="70" customHeight="1">
      <x:c r="A142" s="11" t="str">
        <x:v>DASH-006</x:v>
      </x:c>
      <x:c r="B142" s="11" t="str">
        <x:v>Dashboards and live monitoring</x:v>
      </x:c>
      <x:c r="C142" s="11" t="str">
        <x:v>P1</x:v>
      </x:c>
      <x:c r="D142" s="13" t="str">
        <x:v>Not Run</x:v>
      </x:c>
      <x:c r="E142" s="11" t="str">
        <x:v>One-second refresh coordination</x:v>
      </x:c>
      <x:c r="F142" s="11" t="str">
        <x:v>Open active tables/widgets and observe network calls while adding a fixture record.</x:v>
      </x:c>
      <x:c r="G142" s="11" t="str">
        <x:v>Revision refresh runs at the configured one-second cadence without overlapping full scans. Changed data appears within agreed freshness target.</x:v>
      </x:c>
      <x:c r="H142" s="11" t="str">
        <x:v>D04, D07, D13</x:v>
      </x:c>
      <x:c r="I142" s="11" t="str">
        <x:v>Super Admin / Merchant</x:v>
      </x:c>
      <x:c r="J142" s="11" t="str">
        <x:v>Staging</x:v>
      </x:c>
      <x:c r="K142" s="14" t="str"/>
      <x:c r="L142" s="14" t="str"/>
      <x:c r="M142" s="14" t="str"/>
      <x:c r="N142" s="14" t="str"/>
      <x:c r="O142" s="15" t="str"/>
      <x:c r="P142" s="14" t="str"/>
      <x:c r="Q142" s="14" t="str"/>
    </x:row>
    <x:row r="143" ht="70" customHeight="1">
      <x:c r="A143" s="12" t="str">
        <x:v>DASH-007</x:v>
      </x:c>
      <x:c r="B143" s="12" t="str">
        <x:v>Dashboards and live monitoring</x:v>
      </x:c>
      <x:c r="C143" s="12" t="str">
        <x:v>P1</x:v>
      </x:c>
      <x:c r="D143" s="13" t="str">
        <x:v>Not Run</x:v>
      </x:c>
      <x:c r="E143" s="12" t="str">
        <x:v>Refresh preserves user work</x:v>
      </x:c>
      <x:c r="F143" s="12" t="str">
        <x:v>While data updates, change page/filter/sort, scroll, select rows and type into an unsaved form.</x:v>
      </x:c>
      <x:c r="G143" s="12" t="str">
        <x:v>Updates preserve context and edits; stale responses cannot replace newer results.</x:v>
      </x:c>
      <x:c r="H143" s="12" t="str">
        <x:v>D04, D07, D13</x:v>
      </x:c>
      <x:c r="I143" s="12" t="str">
        <x:v>Super Admin / Merchant</x:v>
      </x:c>
      <x:c r="J143" s="12" t="str">
        <x:v>Staging</x:v>
      </x:c>
      <x:c r="K143" s="14" t="str"/>
      <x:c r="L143" s="14" t="str"/>
      <x:c r="M143" s="14" t="str"/>
      <x:c r="N143" s="14" t="str"/>
      <x:c r="O143" s="15" t="str"/>
      <x:c r="P143" s="14" t="str"/>
      <x:c r="Q143" s="14" t="str"/>
    </x:row>
    <x:row r="144" ht="70" customHeight="1">
      <x:c r="A144" s="11" t="str">
        <x:v>DASH-008</x:v>
      </x:c>
      <x:c r="B144" s="11" t="str">
        <x:v>Dashboards and live monitoring</x:v>
      </x:c>
      <x:c r="C144" s="11" t="str">
        <x:v>P1</x:v>
      </x:c>
      <x:c r="D144" s="13" t="str">
        <x:v>Not Run</x:v>
      </x:c>
      <x:c r="E144" s="11" t="str">
        <x:v>Background tabs and errors</x:v>
      </x:c>
      <x:c r="F144" s="11" t="str">
        <x:v>Background/resume tabs; simulate slow API, offline state and 429.</x:v>
      </x:c>
      <x:c r="G144" s="11" t="str">
        <x:v>Polling backs off/pauses appropriately, indicates stale/error state and recovers without request storms.</x:v>
      </x:c>
      <x:c r="H144" s="11" t="str">
        <x:v>D04, D07, D13</x:v>
      </x:c>
      <x:c r="I144" s="11" t="str">
        <x:v>Super Admin / Merchant</x:v>
      </x:c>
      <x:c r="J144" s="11" t="str">
        <x:v>Staging</x:v>
      </x:c>
      <x:c r="K144" s="14" t="str"/>
      <x:c r="L144" s="14" t="str"/>
      <x:c r="M144" s="14" t="str"/>
      <x:c r="N144" s="14" t="str"/>
      <x:c r="O144" s="15" t="str"/>
      <x:c r="P144" s="14" t="str"/>
      <x:c r="Q144" s="14" t="str"/>
    </x:row>
    <x:row r="145" ht="70" customHeight="1">
      <x:c r="A145" s="12" t="str">
        <x:v>DASH-009</x:v>
      </x:c>
      <x:c r="B145" s="12" t="str">
        <x:v>Dashboards and live monitoring</x:v>
      </x:c>
      <x:c r="C145" s="12" t="str">
        <x:v>P0</x:v>
      </x:c>
      <x:c r="D145" s="13" t="str">
        <x:v>Not Run</x:v>
      </x:c>
      <x:c r="E145" s="12" t="str">
        <x:v>Observed status versus BIR acceptance</x:v>
      </x:c>
      <x:c r="F145" s="12" t="str">
        <x:v>Show unconfigured BIR and planned server states alongside actual NUERS activity.</x:v>
      </x:c>
      <x:c r="G145" s="12" t="str">
        <x:v>No fake BIR success, production acknowledgment or online server claim is derived from local data availability.</x:v>
      </x:c>
      <x:c r="H145" s="12" t="str">
        <x:v>D04, D07, D13</x:v>
      </x:c>
      <x:c r="I145" s="12" t="str">
        <x:v>Super Admin / Merchant</x:v>
      </x:c>
      <x:c r="J145" s="12" t="str">
        <x:v>Staging</x:v>
      </x:c>
      <x:c r="K145" s="14" t="str"/>
      <x:c r="L145" s="14" t="str"/>
      <x:c r="M145" s="14" t="str"/>
      <x:c r="N145" s="14" t="str"/>
      <x:c r="O145" s="15" t="str"/>
      <x:c r="P145" s="14" t="str"/>
      <x:c r="Q145" s="14" t="str"/>
    </x:row>
    <x:row r="146" ht="70" customHeight="1">
      <x:c r="A146" s="11" t="str">
        <x:v>LIST-001</x:v>
      </x:c>
      <x:c r="B146" s="11" t="str">
        <x:v>Tables, filters and record actions</x:v>
      </x:c>
      <x:c r="C146" s="11" t="str">
        <x:v>P1</x:v>
      </x:c>
      <x:c r="D146" s="13" t="str">
        <x:v>Not Run</x:v>
      </x:c>
      <x:c r="E146" s="11" t="str">
        <x:v>Search exact and partial values</x:v>
      </x:c>
      <x:c r="F146" s="11" t="str">
        <x:v>Search business name, formatted/unformatted TIN, invoice number and transaction reference; include Unicode.</x:v>
      </x:c>
      <x:c r="G146" s="11" t="str">
        <x:v>Expected matches only; no stale query or excessive data return.</x:v>
      </x:c>
      <x:c r="H146" s="11" t="str">
        <x:v>D04, D13</x:v>
      </x:c>
      <x:c r="I146" s="11" t="str">
        <x:v>All authorized portals</x:v>
      </x:c>
      <x:c r="J146" s="11" t="str">
        <x:v>Staging</x:v>
      </x:c>
      <x:c r="K146" s="14" t="str"/>
      <x:c r="L146" s="14" t="str"/>
      <x:c r="M146" s="14" t="str"/>
      <x:c r="N146" s="14" t="str"/>
      <x:c r="O146" s="15" t="str"/>
      <x:c r="P146" s="14" t="str"/>
      <x:c r="Q146" s="14" t="str"/>
    </x:row>
    <x:row r="147" ht="70" customHeight="1">
      <x:c r="A147" s="12" t="str">
        <x:v>LIST-002</x:v>
      </x:c>
      <x:c r="B147" s="12" t="str">
        <x:v>Tables, filters and record actions</x:v>
      </x:c>
      <x:c r="C147" s="12" t="str">
        <x:v>P1</x:v>
      </x:c>
      <x:c r="D147" s="13" t="str">
        <x:v>Not Run</x:v>
      </x:c>
      <x:c r="E147" s="12" t="str">
        <x:v>Combined filters</x:v>
      </x:c>
      <x:c r="F147" s="12" t="str">
        <x:v>Combine date, merchant, branch, document type, status, payment method, category, tax class, amount and environment where offered.</x:v>
      </x:c>
      <x:c r="G147" s="12" t="str">
        <x:v>Rows and counts satisfy every selected condition. Reset clears all applied state.</x:v>
      </x:c>
      <x:c r="H147" s="12" t="str">
        <x:v>D04, D13</x:v>
      </x:c>
      <x:c r="I147" s="12" t="str">
        <x:v>All authorized portals</x:v>
      </x:c>
      <x:c r="J147" s="12" t="str">
        <x:v>Staging</x:v>
      </x:c>
      <x:c r="K147" s="14" t="str"/>
      <x:c r="L147" s="14" t="str"/>
      <x:c r="M147" s="14" t="str"/>
      <x:c r="N147" s="14" t="str"/>
      <x:c r="O147" s="15" t="str"/>
      <x:c r="P147" s="14" t="str"/>
      <x:c r="Q147" s="14" t="str"/>
    </x:row>
    <x:row r="148" ht="70" customHeight="1">
      <x:c r="A148" s="11" t="str">
        <x:v>LIST-003</x:v>
      </x:c>
      <x:c r="B148" s="11" t="str">
        <x:v>Tables, filters and record actions</x:v>
      </x:c>
      <x:c r="C148" s="11" t="str">
        <x:v>P1</x:v>
      </x:c>
      <x:c r="D148" s="13" t="str">
        <x:v>Not Run</x:v>
      </x:c>
      <x:c r="E148" s="11" t="str">
        <x:v>Date and amount bounds</x:v>
      </x:c>
      <x:c r="F148" s="11" t="str">
        <x:v>Test inclusive date endpoints, missing endpoints, reversed range, amount zero and min greater than max.</x:v>
      </x:c>
      <x:c r="G148" s="11" t="str">
        <x:v>Valid boundaries work; invalid combinations show clear validation and do not silently broaden results.</x:v>
      </x:c>
      <x:c r="H148" s="11" t="str">
        <x:v>D04, D13</x:v>
      </x:c>
      <x:c r="I148" s="11" t="str">
        <x:v>All authorized portals</x:v>
      </x:c>
      <x:c r="J148" s="11" t="str">
        <x:v>Staging</x:v>
      </x:c>
      <x:c r="K148" s="14" t="str"/>
      <x:c r="L148" s="14" t="str"/>
      <x:c r="M148" s="14" t="str"/>
      <x:c r="N148" s="14" t="str"/>
      <x:c r="O148" s="15" t="str"/>
      <x:c r="P148" s="14" t="str"/>
      <x:c r="Q148" s="14" t="str"/>
    </x:row>
    <x:row r="149" ht="70" customHeight="1">
      <x:c r="A149" s="12" t="str">
        <x:v>LIST-004</x:v>
      </x:c>
      <x:c r="B149" s="12" t="str">
        <x:v>Tables, filters and record actions</x:v>
      </x:c>
      <x:c r="C149" s="12" t="str">
        <x:v>P1</x:v>
      </x:c>
      <x:c r="D149" s="13" t="str">
        <x:v>Not Run</x:v>
      </x:c>
      <x:c r="E149" s="12" t="str">
        <x:v>Pagination and stable sorting</x:v>
      </x:c>
      <x:c r="F149" s="12" t="str">
        <x:v>Use first/last/deep pages and each supported sort with duplicate dates/amounts. Change page size.</x:v>
      </x:c>
      <x:c r="G149" s="12" t="str">
        <x:v>Stable tie-breaking prevents unexplained duplicates/skips; row numbering and counts are consistent.</x:v>
      </x:c>
      <x:c r="H149" s="12" t="str">
        <x:v>D04, D13</x:v>
      </x:c>
      <x:c r="I149" s="12" t="str">
        <x:v>All authorized portals</x:v>
      </x:c>
      <x:c r="J149" s="12" t="str">
        <x:v>Staging</x:v>
      </x:c>
      <x:c r="K149" s="14" t="str"/>
      <x:c r="L149" s="14" t="str"/>
      <x:c r="M149" s="14" t="str"/>
      <x:c r="N149" s="14" t="str"/>
      <x:c r="O149" s="15" t="str"/>
      <x:c r="P149" s="14" t="str"/>
      <x:c r="Q149" s="14" t="str"/>
    </x:row>
    <x:row r="150" ht="70" customHeight="1">
      <x:c r="A150" s="11" t="str">
        <x:v>LIST-005</x:v>
      </x:c>
      <x:c r="B150" s="11" t="str">
        <x:v>Tables, filters and record actions</x:v>
      </x:c>
      <x:c r="C150" s="11" t="str">
        <x:v>P1</x:v>
      </x:c>
      <x:c r="D150" s="13" t="str">
        <x:v>Not Run</x:v>
      </x:c>
      <x:c r="E150" s="11" t="str">
        <x:v>Select rows and bulk scope</x:v>
      </x:c>
      <x:c r="F150" s="11" t="str">
        <x:v>Select page rows, change filters and invoke supported bulk action preview.</x:v>
      </x:c>
      <x:c r="G150" s="11" t="str">
        <x:v>Selected scope is explicit; old hidden selections cannot affect unintended companies/records.</x:v>
      </x:c>
      <x:c r="H150" s="11" t="str">
        <x:v>D04, D13</x:v>
      </x:c>
      <x:c r="I150" s="11" t="str">
        <x:v>All authorized portals</x:v>
      </x:c>
      <x:c r="J150" s="11" t="str">
        <x:v>Staging</x:v>
      </x:c>
      <x:c r="K150" s="14" t="str"/>
      <x:c r="L150" s="14" t="str"/>
      <x:c r="M150" s="14" t="str"/>
      <x:c r="N150" s="14" t="str"/>
      <x:c r="O150" s="15" t="str"/>
      <x:c r="P150" s="14" t="str"/>
      <x:c r="Q150" s="14" t="str"/>
    </x:row>
    <x:row r="151" ht="70" customHeight="1">
      <x:c r="A151" s="12" t="str">
        <x:v>LIST-006</x:v>
      </x:c>
      <x:c r="B151" s="12" t="str">
        <x:v>Tables, filters and record actions</x:v>
      </x:c>
      <x:c r="C151" s="12" t="str">
        <x:v>P1</x:v>
      </x:c>
      <x:c r="D151" s="13" t="str">
        <x:v>Not Run</x:v>
      </x:c>
      <x:c r="E151" s="12" t="str">
        <x:v>Enterprise action controls</x:v>
      </x:c>
      <x:c r="F151" s="12" t="str">
        <x:v>Use Details, View Receipt, PDF and overflow actions with mouse, keyboard and narrow screen.</x:v>
      </x:c>
      <x:c r="G151" s="12" t="str">
        <x:v>Clear labels/tooltips, correct target, no duplicated Details link, clipped menu or accidental action.</x:v>
      </x:c>
      <x:c r="H151" s="12" t="str">
        <x:v>D04, D13</x:v>
      </x:c>
      <x:c r="I151" s="12" t="str">
        <x:v>All authorized portals</x:v>
      </x:c>
      <x:c r="J151" s="12" t="str">
        <x:v>Staging</x:v>
      </x:c>
      <x:c r="K151" s="14" t="str"/>
      <x:c r="L151" s="14" t="str"/>
      <x:c r="M151" s="14" t="str"/>
      <x:c r="N151" s="14" t="str"/>
      <x:c r="O151" s="15" t="str"/>
      <x:c r="P151" s="14" t="str"/>
      <x:c r="Q151" s="14" t="str"/>
    </x:row>
    <x:row r="152" ht="70" customHeight="1">
      <x:c r="A152" s="11" t="str">
        <x:v>LIST-007</x:v>
      </x:c>
      <x:c r="B152" s="11" t="str">
        <x:v>Tables, filters and record actions</x:v>
      </x:c>
      <x:c r="C152" s="11" t="str">
        <x:v>P1</x:v>
      </x:c>
      <x:c r="D152" s="13" t="str">
        <x:v>Not Run</x:v>
      </x:c>
      <x:c r="E152" s="11" t="str">
        <x:v>Empty, error and retry states</x:v>
      </x:c>
      <x:c r="F152" s="11" t="str">
        <x:v>Query no results; return an error/timeout; retry successfully.</x:v>
      </x:c>
      <x:c r="G152" s="11" t="str">
        <x:v>Loading always resolves into data, empty or actionable error. No permanent spinner.</x:v>
      </x:c>
      <x:c r="H152" s="11" t="str">
        <x:v>D04, D13</x:v>
      </x:c>
      <x:c r="I152" s="11" t="str">
        <x:v>All authorized portals</x:v>
      </x:c>
      <x:c r="J152" s="11" t="str">
        <x:v>Staging</x:v>
      </x:c>
      <x:c r="K152" s="14" t="str"/>
      <x:c r="L152" s="14" t="str"/>
      <x:c r="M152" s="14" t="str"/>
      <x:c r="N152" s="14" t="str"/>
      <x:c r="O152" s="15" t="str"/>
      <x:c r="P152" s="14" t="str"/>
      <x:c r="Q152" s="14" t="str"/>
    </x:row>
    <x:row r="153" ht="70" customHeight="1">
      <x:c r="A153" s="12" t="str">
        <x:v>LIST-008</x:v>
      </x:c>
      <x:c r="B153" s="12" t="str">
        <x:v>Tables, filters and record actions</x:v>
      </x:c>
      <x:c r="C153" s="12" t="str">
        <x:v>P1</x:v>
      </x:c>
      <x:c r="D153" s="13" t="str">
        <x:v>Not Run</x:v>
      </x:c>
      <x:c r="E153" s="12" t="str">
        <x:v>URL and browser navigation</x:v>
      </x:c>
      <x:c r="F153" s="12" t="str">
        <x:v>Apply filters, open detail, use Back/Forward, then reload a supported deep link.</x:v>
      </x:c>
      <x:c r="G153" s="12" t="str">
        <x:v>Navigation preserves expected state and correct scope without requesting the entire dataset.</x:v>
      </x:c>
      <x:c r="H153" s="12" t="str">
        <x:v>D04, D13</x:v>
      </x:c>
      <x:c r="I153" s="12" t="str">
        <x:v>All authorized portals</x:v>
      </x:c>
      <x:c r="J153" s="12" t="str">
        <x:v>Staging</x:v>
      </x:c>
      <x:c r="K153" s="14" t="str"/>
      <x:c r="L153" s="14" t="str"/>
      <x:c r="M153" s="14" t="str"/>
      <x:c r="N153" s="14" t="str"/>
      <x:c r="O153" s="15" t="str"/>
      <x:c r="P153" s="14" t="str"/>
      <x:c r="Q153" s="14" t="str"/>
    </x:row>
    <x:row r="154" ht="70" customHeight="1">
      <x:c r="A154" s="11" t="str">
        <x:v>REP-001</x:v>
      </x:c>
      <x:c r="B154" s="11" t="str">
        <x:v>Reports and PDF/CSV exports</x:v>
      </x:c>
      <x:c r="C154" s="11" t="str">
        <x:v>P0</x:v>
      </x:c>
      <x:c r="D154" s="13" t="str">
        <x:v>Not Run</x:v>
      </x:c>
      <x:c r="E154" s="11" t="str">
        <x:v>Summary List of Sales</x:v>
      </x:c>
      <x:c r="F154" s="11" t="str">
        <x:v>Run daily, monthly, business, type, payment and branch summaries against approved fixture totals.</x:v>
      </x:c>
      <x:c r="G154" s="11" t="str">
        <x:v>Sales, transaction counts, taxable base and VAT reconcile; excluded/invalid evidence is disclosed.</x:v>
      </x:c>
      <x:c r="H154" s="11" t="str">
        <x:v>D07, D08, D13, D14</x:v>
      </x:c>
      <x:c r="I154" s="11" t="str">
        <x:v>Merchant / Admin / finance QA</x:v>
      </x:c>
      <x:c r="J154" s="11" t="str">
        <x:v>Staging</x:v>
      </x:c>
      <x:c r="K154" s="14" t="str"/>
      <x:c r="L154" s="14" t="str"/>
      <x:c r="M154" s="14" t="str"/>
      <x:c r="N154" s="14" t="str"/>
      <x:c r="O154" s="15" t="str"/>
      <x:c r="P154" s="14" t="str"/>
      <x:c r="Q154" s="14" t="str"/>
    </x:row>
    <x:row r="155" ht="70" customHeight="1">
      <x:c r="A155" s="12" t="str">
        <x:v>REP-002</x:v>
      </x:c>
      <x:c r="B155" s="12" t="str">
        <x:v>Reports and PDF/CSV exports</x:v>
      </x:c>
      <x:c r="C155" s="12" t="str">
        <x:v>P0</x:v>
      </x:c>
      <x:c r="D155" s="13" t="str">
        <x:v>Not Run</x:v>
      </x:c>
      <x:c r="E155" s="12" t="str">
        <x:v>Merchant sales reports</x:v>
      </x:c>
      <x:c r="F155" s="12" t="str">
        <x:v>Run date/branch/type/category filters and each displayed breakdown.</x:v>
      </x:c>
      <x:c r="G155" s="12" t="str">
        <x:v>Only owned records; totals match source fixtures and admin totals for the same scope.</x:v>
      </x:c>
      <x:c r="H155" s="12" t="str">
        <x:v>D07, D08, D13, D14</x:v>
      </x:c>
      <x:c r="I155" s="12" t="str">
        <x:v>Merchant / Admin / finance QA</x:v>
      </x:c>
      <x:c r="J155" s="12" t="str">
        <x:v>Staging</x:v>
      </x:c>
      <x:c r="K155" s="14" t="str"/>
      <x:c r="L155" s="14" t="str"/>
      <x:c r="M155" s="14" t="str"/>
      <x:c r="N155" s="14" t="str"/>
      <x:c r="O155" s="15" t="str"/>
      <x:c r="P155" s="14" t="str"/>
      <x:c r="Q155" s="14" t="str"/>
    </x:row>
    <x:row r="156" ht="70" customHeight="1">
      <x:c r="A156" s="11" t="str">
        <x:v>REP-003</x:v>
      </x:c>
      <x:c r="B156" s="11" t="str">
        <x:v>Reports and PDF/CSV exports</x:v>
      </x:c>
      <x:c r="C156" s="11" t="str">
        <x:v>P0</x:v>
      </x:c>
      <x:c r="D156" s="13" t="str">
        <x:v>Not Run</x:v>
      </x:c>
      <x:c r="E156" s="11" t="str">
        <x:v>Statutory category reports</x:v>
      </x:c>
      <x:c r="F156" s="11" t="str">
        <x:v>Generate separate senior citizen, PWD, national athlete/coach and solo-parent reports.</x:v>
      </x:c>
      <x:c r="G156" s="11" t="str">
        <x:v>Category, discount, VAT and sales amounts reconcile with the reviewed fixtures; reports are not mislabeled as official submissions.</x:v>
      </x:c>
      <x:c r="H156" s="11" t="str">
        <x:v>D07, D08, D13, D14</x:v>
      </x:c>
      <x:c r="I156" s="11" t="str">
        <x:v>Merchant / Admin / finance QA</x:v>
      </x:c>
      <x:c r="J156" s="11" t="str">
        <x:v>Staging</x:v>
      </x:c>
      <x:c r="K156" s="14" t="str"/>
      <x:c r="L156" s="14" t="str"/>
      <x:c r="M156" s="14" t="str"/>
      <x:c r="N156" s="14" t="str"/>
      <x:c r="O156" s="15" t="str"/>
      <x:c r="P156" s="14" t="str"/>
      <x:c r="Q156" s="14" t="str"/>
    </x:row>
    <x:row r="157" ht="70" customHeight="1">
      <x:c r="A157" s="12" t="str">
        <x:v>REP-004</x:v>
      </x:c>
      <x:c r="B157" s="12" t="str">
        <x:v>Reports and PDF/CSV exports</x:v>
      </x:c>
      <x:c r="C157" s="12" t="str">
        <x:v>P1</x:v>
      </x:c>
      <x:c r="D157" s="13" t="str">
        <x:v>Not Run</x:v>
      </x:c>
      <x:c r="E157" s="12" t="str">
        <x:v>Other report catalog</x:v>
      </x:c>
      <x:c r="F157" s="12" t="str">
        <x:v>Run transaction, wallet/deposit/fee, failed-attempt, audit, user, registry, PTI and infrastructure reports offered by the UI.</x:v>
      </x:c>
      <x:c r="G157" s="12" t="str">
        <x:v>Each advertised report either produces accurate output or clearly states its unmet dependency. No decorative dead actions.</x:v>
      </x:c>
      <x:c r="H157" s="12" t="str">
        <x:v>D07, D08, D13, D14</x:v>
      </x:c>
      <x:c r="I157" s="12" t="str">
        <x:v>Merchant / Admin / finance QA</x:v>
      </x:c>
      <x:c r="J157" s="12" t="str">
        <x:v>Staging</x:v>
      </x:c>
      <x:c r="K157" s="14" t="str"/>
      <x:c r="L157" s="14" t="str"/>
      <x:c r="M157" s="14" t="str"/>
      <x:c r="N157" s="14" t="str"/>
      <x:c r="O157" s="15" t="str"/>
      <x:c r="P157" s="14" t="str"/>
      <x:c r="Q157" s="14" t="str"/>
    </x:row>
    <x:row r="158" ht="70" customHeight="1">
      <x:c r="A158" s="11" t="str">
        <x:v>REP-005</x:v>
      </x:c>
      <x:c r="B158" s="11" t="str">
        <x:v>Reports and PDF/CSV exports</x:v>
      </x:c>
      <x:c r="C158" s="11" t="str">
        <x:v>P0</x:v>
      </x:c>
      <x:c r="D158" s="13" t="str">
        <x:v>Not Run</x:v>
      </x:c>
      <x:c r="E158" s="11" t="str">
        <x:v>Every Export control supports its promised formats</x:v>
      </x:c>
      <x:c r="F158" s="11" t="str">
        <x:v>Inventory all export controls on Page Inventory; generate PDF and CSV for each supported report/list.</x:v>
      </x:c>
      <x:c r="G158" s="11" t="str">
        <x:v>Working PDF/CSV actions with meaningful filenames, actual file types and explicit scope. Missing promised format is logged as a defect.</x:v>
      </x:c>
      <x:c r="H158" s="11" t="str">
        <x:v>D07, D08, D13, D14</x:v>
      </x:c>
      <x:c r="I158" s="11" t="str">
        <x:v>Merchant / Admin / finance QA</x:v>
      </x:c>
      <x:c r="J158" s="11" t="str">
        <x:v>Staging</x:v>
      </x:c>
      <x:c r="K158" s="14" t="str"/>
      <x:c r="L158" s="14" t="str"/>
      <x:c r="M158" s="14" t="str"/>
      <x:c r="N158" s="14" t="str"/>
      <x:c r="O158" s="15" t="str"/>
      <x:c r="P158" s="14" t="str"/>
      <x:c r="Q158" s="14" t="str"/>
    </x:row>
    <x:row r="159" ht="70" customHeight="1">
      <x:c r="A159" s="12" t="str">
        <x:v>REP-006</x:v>
      </x:c>
      <x:c r="B159" s="12" t="str">
        <x:v>Reports and PDF/CSV exports</x:v>
      </x:c>
      <x:c r="C159" s="12" t="str">
        <x:v>P0</x:v>
      </x:c>
      <x:c r="D159" s="13" t="str">
        <x:v>Not Run</x:v>
      </x:c>
      <x:c r="E159" s="12" t="str">
        <x:v>Export filter and scope parity</x:v>
      </x:c>
      <x:c r="F159" s="12" t="str">
        <x:v>Filter a dataset, select a merchant/environment and export. Compare row count and totals with the complete matching result.</x:v>
      </x:c>
      <x:c r="G159" s="12" t="str">
        <x:v>Export uses the same authorized filters, not just the visible page unless explicitly chosen. No foreign records.</x:v>
      </x:c>
      <x:c r="H159" s="12" t="str">
        <x:v>D07, D08, D13, D14</x:v>
      </x:c>
      <x:c r="I159" s="12" t="str">
        <x:v>Merchant / Admin / finance QA</x:v>
      </x:c>
      <x:c r="J159" s="12" t="str">
        <x:v>Staging</x:v>
      </x:c>
      <x:c r="K159" s="14" t="str"/>
      <x:c r="L159" s="14" t="str"/>
      <x:c r="M159" s="14" t="str"/>
      <x:c r="N159" s="14" t="str"/>
      <x:c r="O159" s="15" t="str"/>
      <x:c r="P159" s="14" t="str"/>
      <x:c r="Q159" s="14" t="str"/>
    </x:row>
    <x:row r="160" ht="70" customHeight="1">
      <x:c r="A160" s="11" t="str">
        <x:v>REP-007</x:v>
      </x:c>
      <x:c r="B160" s="11" t="str">
        <x:v>Reports and PDF/CSV exports</x:v>
      </x:c>
      <x:c r="C160" s="11" t="str">
        <x:v>P1</x:v>
      </x:c>
      <x:c r="D160" s="13" t="str">
        <x:v>Not Run</x:v>
      </x:c>
      <x:c r="E160" s="11" t="str">
        <x:v>Enterprise report PDF details</x:v>
      </x:c>
      <x:c r="F160" s="11" t="str">
        <x:v>Inspect cover/header, NUERS official logo/colors, report title, date/time PHT, filters, merchant identity, totals, columns and page numbers.</x:v>
      </x:c>
      <x:c r="G160" s="11" t="str">
        <x:v>Readable complete details, repeated table headers where needed, no clipping and correct branding.</x:v>
      </x:c>
      <x:c r="H160" s="11" t="str">
        <x:v>D07, D08, D13, D14</x:v>
      </x:c>
      <x:c r="I160" s="11" t="str">
        <x:v>Merchant / Admin / finance QA</x:v>
      </x:c>
      <x:c r="J160" s="11" t="str">
        <x:v>Staging</x:v>
      </x:c>
      <x:c r="K160" s="14" t="str"/>
      <x:c r="L160" s="14" t="str"/>
      <x:c r="M160" s="14" t="str"/>
      <x:c r="N160" s="14" t="str"/>
      <x:c r="O160" s="15" t="str"/>
      <x:c r="P160" s="14" t="str"/>
      <x:c r="Q160" s="14" t="str"/>
    </x:row>
    <x:row r="161" ht="70" customHeight="1">
      <x:c r="A161" s="12" t="str">
        <x:v>REP-008</x:v>
      </x:c>
      <x:c r="B161" s="12" t="str">
        <x:v>Reports and PDF/CSV exports</x:v>
      </x:c>
      <x:c r="C161" s="12" t="str">
        <x:v>P0</x:v>
      </x:c>
      <x:c r="D161" s="13" t="str">
        <x:v>Not Run</x:v>
      </x:c>
      <x:c r="E161" s="12" t="str">
        <x:v>CSV fidelity and formula safety</x:v>
      </x:c>
      <x:c r="F161" s="12" t="str">
        <x:v>Export leading-zero identifiers, peso amounts, Unicode, commas/quotes/newlines and formula-like text.</x:v>
      </x:c>
      <x:c r="G161" s="12" t="str">
        <x:v>Rows parse correctly, identifiers retain meaning, numbers reconcile and spreadsheet formula injection is neutralized.</x:v>
      </x:c>
      <x:c r="H161" s="12" t="str">
        <x:v>D07, D08, D13, D14</x:v>
      </x:c>
      <x:c r="I161" s="12" t="str">
        <x:v>Merchant / Admin / finance QA</x:v>
      </x:c>
      <x:c r="J161" s="12" t="str">
        <x:v>Staging</x:v>
      </x:c>
      <x:c r="K161" s="14" t="str"/>
      <x:c r="L161" s="14" t="str"/>
      <x:c r="M161" s="14" t="str"/>
      <x:c r="N161" s="14" t="str"/>
      <x:c r="O161" s="15" t="str"/>
      <x:c r="P161" s="14" t="str"/>
      <x:c r="Q161" s="14" t="str"/>
    </x:row>
    <x:row r="162" ht="70" customHeight="1">
      <x:c r="A162" s="11" t="str">
        <x:v>REP-009</x:v>
      </x:c>
      <x:c r="B162" s="11" t="str">
        <x:v>Reports and PDF/CSV exports</x:v>
      </x:c>
      <x:c r="C162" s="11" t="str">
        <x:v>P1</x:v>
      </x:c>
      <x:c r="D162" s="13" t="str">
        <x:v>Not Run</x:v>
      </x:c>
      <x:c r="E162" s="11" t="str">
        <x:v>Large export job lifecycle</x:v>
      </x:c>
      <x:c r="F162" s="11" t="str">
        <x:v>Request a large filtered export; observe queued/running/completed/failed states; download as owner.</x:v>
      </x:c>
      <x:c r="G162" s="11" t="str">
        <x:v>Bounded background processing, useful progress/status, authorized download and clear limits without silent truncation.</x:v>
      </x:c>
      <x:c r="H162" s="11" t="str">
        <x:v>D07, D08, D13, D14</x:v>
      </x:c>
      <x:c r="I162" s="11" t="str">
        <x:v>Merchant / Admin / finance QA</x:v>
      </x:c>
      <x:c r="J162" s="11" t="str">
        <x:v>Staging</x:v>
      </x:c>
      <x:c r="K162" s="14" t="str"/>
      <x:c r="L162" s="14" t="str"/>
      <x:c r="M162" s="14" t="str"/>
      <x:c r="N162" s="14" t="str"/>
      <x:c r="O162" s="15" t="str"/>
      <x:c r="P162" s="14" t="str"/>
      <x:c r="Q162" s="14" t="str"/>
    </x:row>
    <x:row r="163" ht="70" customHeight="1">
      <x:c r="A163" s="12" t="str">
        <x:v>REP-010</x:v>
      </x:c>
      <x:c r="B163" s="12" t="str">
        <x:v>Reports and PDF/CSV exports</x:v>
      </x:c>
      <x:c r="C163" s="12" t="str">
        <x:v>P0</x:v>
      </x:c>
      <x:c r="D163" s="13" t="str">
        <x:v>Not Run</x:v>
      </x:c>
      <x:c r="E163" s="12" t="str">
        <x:v>Concurrent export and snapshot consistency</x:v>
      </x:c>
      <x:c r="F163" s="12" t="str">
        <x:v>Export while new sales arrive. Compare recorded scope/cutoff and totals.</x:v>
      </x:c>
      <x:c r="G163" s="12" t="str">
        <x:v>Output uses a coherent documented cutoff and does not contain duplicate/missing rows caused by pagination races.</x:v>
      </x:c>
      <x:c r="H163" s="12" t="str">
        <x:v>D07, D08, D13, D14</x:v>
      </x:c>
      <x:c r="I163" s="12" t="str">
        <x:v>Merchant / Admin / finance QA</x:v>
      </x:c>
      <x:c r="J163" s="12" t="str">
        <x:v>Isolated lab</x:v>
      </x:c>
      <x:c r="K163" s="14" t="str"/>
      <x:c r="L163" s="14" t="str"/>
      <x:c r="M163" s="14" t="str"/>
      <x:c r="N163" s="14" t="str"/>
      <x:c r="O163" s="15" t="str"/>
      <x:c r="P163" s="14" t="str"/>
      <x:c r="Q163" s="14" t="str"/>
    </x:row>
    <x:row r="164" ht="70" customHeight="1">
      <x:c r="A164" s="11" t="str">
        <x:v>REP-011</x:v>
      </x:c>
      <x:c r="B164" s="11" t="str">
        <x:v>Reports and PDF/CSV exports</x:v>
      </x:c>
      <x:c r="C164" s="11" t="str">
        <x:v>P1</x:v>
      </x:c>
      <x:c r="D164" s="13" t="str">
        <x:v>Not Run</x:v>
      </x:c>
      <x:c r="E164" s="11" t="str">
        <x:v>Export failure, retry and expiry</x:v>
      </x:c>
      <x:c r="F164" s="11" t="str">
        <x:v>Interrupt a worker, retry according to workflow, then access an expired or foreign download link.</x:v>
      </x:c>
      <x:c r="G164" s="11" t="str">
        <x:v>No duplicate uncontrolled jobs; failed/expired state is clear; unauthorized downloads are denied.</x:v>
      </x:c>
      <x:c r="H164" s="11" t="str">
        <x:v>D07, D08, D13, D14</x:v>
      </x:c>
      <x:c r="I164" s="11" t="str">
        <x:v>Merchant / Admin / finance QA</x:v>
      </x:c>
      <x:c r="J164" s="11" t="str">
        <x:v>Isolated lab</x:v>
      </x:c>
      <x:c r="K164" s="14" t="str"/>
      <x:c r="L164" s="14" t="str"/>
      <x:c r="M164" s="14" t="str"/>
      <x:c r="N164" s="14" t="str"/>
      <x:c r="O164" s="15" t="str"/>
      <x:c r="P164" s="14" t="str"/>
      <x:c r="Q164" s="14" t="str"/>
    </x:row>
    <x:row r="165" ht="70" customHeight="1">
      <x:c r="A165" s="12" t="str">
        <x:v>REP-012</x:v>
      </x:c>
      <x:c r="B165" s="12" t="str">
        <x:v>Reports and PDF/CSV exports</x:v>
      </x:c>
      <x:c r="C165" s="12" t="str">
        <x:v>P1</x:v>
      </x:c>
      <x:c r="D165" s="13" t="str">
        <x:v>Not Run</x:v>
      </x:c>
      <x:c r="E165" s="12" t="str">
        <x:v>Print each report</x:v>
      </x:c>
      <x:c r="F165" s="12" t="str">
        <x:v>Print representative short/long reports and every distinct report template.</x:v>
      </x:c>
      <x:c r="G165" s="12" t="str">
        <x:v>All columns/totals remain legible; print output has no UI controls, blank filler pages or cut-off text.</x:v>
      </x:c>
      <x:c r="H165" s="12" t="str">
        <x:v>D07, D08, D13, D14</x:v>
      </x:c>
      <x:c r="I165" s="12" t="str">
        <x:v>Merchant / Admin / finance QA</x:v>
      </x:c>
      <x:c r="J165" s="12" t="str">
        <x:v>Staging</x:v>
      </x:c>
      <x:c r="K165" s="14" t="str"/>
      <x:c r="L165" s="14" t="str"/>
      <x:c r="M165" s="14" t="str"/>
      <x:c r="N165" s="14" t="str"/>
      <x:c r="O165" s="15" t="str"/>
      <x:c r="P165" s="14" t="str"/>
      <x:c r="Q165" s="14" t="str"/>
    </x:row>
    <x:row r="166" ht="70" customHeight="1">
      <x:c r="A166" s="11" t="str">
        <x:v>COMP-001</x:v>
      </x:c>
      <x:c r="B166" s="11" t="str">
        <x:v>Compliance operations and evidence</x:v>
      </x:c>
      <x:c r="C166" s="11" t="str">
        <x:v>P0</x:v>
      </x:c>
      <x:c r="D166" s="13" t="str">
        <x:v>Not Run</x:v>
      </x:c>
      <x:c r="E166" s="11" t="str">
        <x:v>PTI application preparation</x:v>
      </x:c>
      <x:c r="F166" s="11" t="str">
        <x:v>Create merchant PTI draft, fill required evidence, submit for internal review and export the package.</x:v>
      </x:c>
      <x:c r="G166" s="11" t="str">
        <x:v>Scoped preparation workflow works. Preparing/submitting internally does not claim BIR issued a permit.</x:v>
      </x:c>
      <x:c r="H166" s="11" t="str">
        <x:v>D05, D06, D15</x:v>
      </x:c>
      <x:c r="I166" s="11" t="str">
        <x:v>Merchant / compliance Admin</x:v>
      </x:c>
      <x:c r="J166" s="11" t="str">
        <x:v>Staging</x:v>
      </x:c>
      <x:c r="K166" s="14" t="str"/>
      <x:c r="L166" s="14" t="str"/>
      <x:c r="M166" s="14" t="str"/>
      <x:c r="N166" s="14" t="str"/>
      <x:c r="O166" s="15" t="str"/>
      <x:c r="P166" s="14" t="str"/>
      <x:c r="Q166" s="14" t="str"/>
    </x:row>
    <x:row r="167" ht="70" customHeight="1">
      <x:c r="A167" s="12" t="str">
        <x:v>COMP-002</x:v>
      </x:c>
      <x:c r="B167" s="12" t="str">
        <x:v>Compliance operations and evidence</x:v>
      </x:c>
      <x:c r="C167" s="12" t="str">
        <x:v>P0</x:v>
      </x:c>
      <x:c r="D167" s="13" t="str">
        <x:v>Not Run</x:v>
      </x:c>
      <x:c r="E167" s="12" t="str">
        <x:v>PTI review and filing history</x:v>
      </x:c>
      <x:c r="F167" s="12" t="str">
        <x:v>Request corrections, resubmit, record filing reference and attach issued-authority evidence in a test workflow.</x:v>
      </x:c>
      <x:c r="G167" s="12" t="str">
        <x:v>Status transitions require evidence/reason, revisions and authorized reviewers; exactly one linked authority when appropriate.</x:v>
      </x:c>
      <x:c r="H167" s="12" t="str">
        <x:v>D05, D06, D15</x:v>
      </x:c>
      <x:c r="I167" s="12" t="str">
        <x:v>Merchant / compliance Admin</x:v>
      </x:c>
      <x:c r="J167" s="12" t="str">
        <x:v>Staging</x:v>
      </x:c>
      <x:c r="K167" s="14" t="str"/>
      <x:c r="L167" s="14" t="str"/>
      <x:c r="M167" s="14" t="str"/>
      <x:c r="N167" s="14" t="str"/>
      <x:c r="O167" s="15" t="str"/>
      <x:c r="P167" s="14" t="str"/>
      <x:c r="Q167" s="14" t="str"/>
    </x:row>
    <x:row r="168" ht="70" customHeight="1">
      <x:c r="A168" s="11" t="str">
        <x:v>COMP-003</x:v>
      </x:c>
      <x:c r="B168" s="11" t="str">
        <x:v>Compliance operations and evidence</x:v>
      </x:c>
      <x:c r="C168" s="11" t="str">
        <x:v>P0</x:v>
      </x:c>
      <x:c r="D168" s="13" t="str">
        <x:v>Not Run</x:v>
      </x:c>
      <x:c r="E168" s="11" t="str">
        <x:v>PTI ownership and attachment integrity</x:v>
      </x:c>
      <x:c r="F168" s="11" t="str">
        <x:v>Attempt foreign application read/update/download; alter a test attachment or submit stale revision.</x:v>
      </x:c>
      <x:c r="G168" s="11" t="str">
        <x:v>Access/integrity/revision failures stop the operation without changing the accepted record.</x:v>
      </x:c>
      <x:c r="H168" s="11" t="str">
        <x:v>D05, D06, D15</x:v>
      </x:c>
      <x:c r="I168" s="11" t="str">
        <x:v>Merchant / compliance Admin</x:v>
      </x:c>
      <x:c r="J168" s="11" t="str">
        <x:v>Staging</x:v>
      </x:c>
      <x:c r="K168" s="14" t="str"/>
      <x:c r="L168" s="14" t="str"/>
      <x:c r="M168" s="14" t="str"/>
      <x:c r="N168" s="14" t="str"/>
      <x:c r="O168" s="15" t="str"/>
      <x:c r="P168" s="14" t="str"/>
      <x:c r="Q168" s="14" t="str"/>
    </x:row>
    <x:row r="169" ht="70" customHeight="1">
      <x:c r="A169" s="12" t="str">
        <x:v>COMP-004</x:v>
      </x:c>
      <x:c r="B169" s="12" t="str">
        <x:v>Compliance operations and evidence</x:v>
      </x:c>
      <x:c r="C169" s="12" t="str">
        <x:v>P0</x:v>
      </x:c>
      <x:c r="D169" s="13" t="str">
        <x:v>Not Run</x:v>
      </x:c>
      <x:c r="E169" s="12" t="str">
        <x:v>PTI, PTT and CAS/POS distinctions</x:v>
      </x:c>
      <x:c r="F169" s="12" t="str">
        <x:v>Record separate synthetic permits/registration for branch/system/environment; test wrong scope and expired dates.</x:v>
      </x:c>
      <x:c r="G169" s="12" t="str">
        <x:v>One type of authority never automatically grants another. Applicable scope and dates are enforced.</x:v>
      </x:c>
      <x:c r="H169" s="12" t="str">
        <x:v>D05, D06, D15</x:v>
      </x:c>
      <x:c r="I169" s="12" t="str">
        <x:v>Merchant / compliance Admin</x:v>
      </x:c>
      <x:c r="J169" s="12" t="str">
        <x:v>Staging</x:v>
      </x:c>
      <x:c r="K169" s="14" t="str"/>
      <x:c r="L169" s="14" t="str"/>
      <x:c r="M169" s="14" t="str"/>
      <x:c r="N169" s="14" t="str"/>
      <x:c r="O169" s="15" t="str"/>
      <x:c r="P169" s="14" t="str"/>
      <x:c r="Q169" s="14" t="str"/>
    </x:row>
    <x:row r="170" ht="70" customHeight="1">
      <x:c r="A170" s="11" t="str">
        <x:v>COMP-005</x:v>
      </x:c>
      <x:c r="B170" s="11" t="str">
        <x:v>Compliance operations and evidence</x:v>
      </x:c>
      <x:c r="C170" s="11" t="str">
        <x:v>P0</x:v>
      </x:c>
      <x:c r="D170" s="13" t="str">
        <x:v>Not Run</x:v>
      </x:c>
      <x:c r="E170" s="11" t="str">
        <x:v>ESP accreditation evidence</x:v>
      </x:c>
      <x:c r="F170" s="11" t="str">
        <x:v>Record approved solution/version/configuration evidence and test expiry or material version change.</x:v>
      </x:c>
      <x:c r="G170" s="11" t="str">
        <x:v>Readiness follows verified evidence and approved scope; uploaded files alone cannot establish accreditation.</x:v>
      </x:c>
      <x:c r="H170" s="11" t="str">
        <x:v>D05, D06, D15</x:v>
      </x:c>
      <x:c r="I170" s="11" t="str">
        <x:v>Merchant / compliance Admin</x:v>
      </x:c>
      <x:c r="J170" s="11" t="str">
        <x:v>Staging</x:v>
      </x:c>
      <x:c r="K170" s="14" t="str"/>
      <x:c r="L170" s="14" t="str"/>
      <x:c r="M170" s="14" t="str"/>
      <x:c r="N170" s="14" t="str"/>
      <x:c r="O170" s="15" t="str"/>
      <x:c r="P170" s="14" t="str"/>
      <x:c r="Q170" s="14" t="str"/>
    </x:row>
    <x:row r="171" ht="70" customHeight="1">
      <x:c r="A171" s="12" t="str">
        <x:v>COMP-006</x:v>
      </x:c>
      <x:c r="B171" s="12" t="str">
        <x:v>Compliance operations and evidence</x:v>
      </x:c>
      <x:c r="C171" s="12" t="str">
        <x:v>P0</x:v>
      </x:c>
      <x:c r="D171" s="13" t="str">
        <x:v>Not Run</x:v>
      </x:c>
      <x:c r="E171" s="12" t="str">
        <x:v>Prepared intake enforcement</x:v>
      </x:c>
      <x:c r="F171" s="12" t="str">
        <x:v>Test continuity mode and then enforcement mode in isolated configuration. Retry an already accepted event.</x:v>
      </x:c>
      <x:c r="G171" s="12" t="str">
        <x:v>Current authorized continuity behavior remains intact; enforced mode blocks new ineligible intake without corrupting prior records/retries.</x:v>
      </x:c>
      <x:c r="H171" s="12" t="str">
        <x:v>D05, D06, D15</x:v>
      </x:c>
      <x:c r="I171" s="12" t="str">
        <x:v>Merchant / compliance Admin</x:v>
      </x:c>
      <x:c r="J171" s="12" t="str">
        <x:v>Isolated lab</x:v>
      </x:c>
      <x:c r="K171" s="14" t="str"/>
      <x:c r="L171" s="14" t="str"/>
      <x:c r="M171" s="14" t="str"/>
      <x:c r="N171" s="14" t="str"/>
      <x:c r="O171" s="15" t="str"/>
      <x:c r="P171" s="14" t="str"/>
      <x:c r="Q171" s="14" t="str"/>
    </x:row>
    <x:row r="172" ht="70" customHeight="1">
      <x:c r="A172" s="11" t="str">
        <x:v>COMP-007</x:v>
      </x:c>
      <x:c r="B172" s="11" t="str">
        <x:v>Compliance operations and evidence</x:v>
      </x:c>
      <x:c r="C172" s="11" t="str">
        <x:v>P0</x:v>
      </x:c>
      <x:c r="D172" s="13" t="str">
        <x:v>Not Run</x:v>
      </x:c>
      <x:c r="E172" s="11" t="str">
        <x:v>Outage and manual recovery</x:v>
      </x:c>
      <x:c r="F172" s="11" t="str">
        <x:v>Record a test outage, manual document and restored-service evidence; create one replacement with matching identity.</x:v>
      </x:c>
      <x:c r="G172" s="11" t="str">
        <x:v>Manual record remains linked; recovery replacement is scoped, traceable and not duplicated or double-charged.</x:v>
      </x:c>
      <x:c r="H172" s="11" t="str">
        <x:v>D05, D06, D15</x:v>
      </x:c>
      <x:c r="I172" s="11" t="str">
        <x:v>Merchant / compliance Admin</x:v>
      </x:c>
      <x:c r="J172" s="11" t="str">
        <x:v>Staging</x:v>
      </x:c>
      <x:c r="K172" s="14" t="str"/>
      <x:c r="L172" s="14" t="str"/>
      <x:c r="M172" s="14" t="str"/>
      <x:c r="N172" s="14" t="str"/>
      <x:c r="O172" s="15" t="str"/>
      <x:c r="P172" s="14" t="str"/>
      <x:c r="Q172" s="14" t="str"/>
    </x:row>
    <x:row r="173" ht="70" customHeight="1">
      <x:c r="A173" s="12" t="str">
        <x:v>COMP-008</x:v>
      </x:c>
      <x:c r="B173" s="12" t="str">
        <x:v>Compliance operations and evidence</x:v>
      </x:c>
      <x:c r="C173" s="12" t="str">
        <x:v>P0</x:v>
      </x:c>
      <x:c r="D173" s="13" t="str">
        <x:v>Not Run</x:v>
      </x:c>
      <x:c r="E173" s="12" t="str">
        <x:v>CWT and supplementary memo</x:v>
      </x:c>
      <x:c r="F173" s="12" t="str">
        <x:v>Create a valid memo linked to an owned issued invoice; try foreign original or conflicting draft.</x:v>
      </x:c>
      <x:c r="G173" s="12" t="str">
        <x:v>Original financial data stays immutable. Scope and competing-revision checks are enforced.</x:v>
      </x:c>
      <x:c r="H173" s="12" t="str">
        <x:v>D05, D06, D15</x:v>
      </x:c>
      <x:c r="I173" s="12" t="str">
        <x:v>Merchant / compliance Admin</x:v>
      </x:c>
      <x:c r="J173" s="12" t="str">
        <x:v>Staging</x:v>
      </x:c>
      <x:c r="K173" s="14" t="str"/>
      <x:c r="L173" s="14" t="str"/>
      <x:c r="M173" s="14" t="str"/>
      <x:c r="N173" s="14" t="str"/>
      <x:c r="O173" s="15" t="str"/>
      <x:c r="P173" s="14" t="str"/>
      <x:c r="Q173" s="14" t="str"/>
    </x:row>
    <x:row r="174" ht="70" customHeight="1">
      <x:c r="A174" s="11" t="str">
        <x:v>COMP-009</x:v>
      </x:c>
      <x:c r="B174" s="11" t="str">
        <x:v>Compliance operations and evidence</x:v>
      </x:c>
      <x:c r="C174" s="11" t="str">
        <x:v>P0</x:v>
      </x:c>
      <x:c r="D174" s="13" t="str">
        <x:v>Not Run</x:v>
      </x:c>
      <x:c r="E174" s="11" t="str">
        <x:v>NUERS fee statement</x:v>
      </x:c>
      <x:c r="F174" s="11" t="str">
        <x:v>Generate a statement for eligible fee entries; repeat the same claim and try missing issuer identity.</x:v>
      </x:c>
      <x:c r="G174" s="11" t="str">
        <x:v>Entries are claimed once with correct issuer/details and no additional wallet charge.</x:v>
      </x:c>
      <x:c r="H174" s="11" t="str">
        <x:v>D05, D06, D15</x:v>
      </x:c>
      <x:c r="I174" s="11" t="str">
        <x:v>Merchant / compliance Admin</x:v>
      </x:c>
      <x:c r="J174" s="11" t="str">
        <x:v>Staging</x:v>
      </x:c>
      <x:c r="K174" s="14" t="str"/>
      <x:c r="L174" s="14" t="str"/>
      <x:c r="M174" s="14" t="str"/>
      <x:c r="N174" s="14" t="str"/>
      <x:c r="O174" s="15" t="str"/>
      <x:c r="P174" s="14" t="str"/>
      <x:c r="Q174" s="14" t="str"/>
    </x:row>
    <x:row r="175" ht="70" customHeight="1">
      <x:c r="A175" s="12" t="str">
        <x:v>COMP-010</x:v>
      </x:c>
      <x:c r="B175" s="12" t="str">
        <x:v>Compliance operations and evidence</x:v>
      </x:c>
      <x:c r="C175" s="12" t="str">
        <x:v>P0</x:v>
      </x:c>
      <x:c r="D175" s="13" t="str">
        <x:v>Not Run</x:v>
      </x:c>
      <x:c r="E175" s="12" t="str">
        <x:v>Retention and audit integrity</x:v>
      </x:c>
      <x:c r="F175" s="12" t="str">
        <x:v>Attempt ordinary edit/delete of protected records. In lab modify/tail-delete audit evidence and verify integrity.</x:v>
      </x:c>
      <x:c r="G175" s="12" t="str">
        <x:v>Protected history remains retained; tampering is detected and cannot be silently marked verified.</x:v>
      </x:c>
      <x:c r="H175" s="12" t="str">
        <x:v>D05, D06, D15</x:v>
      </x:c>
      <x:c r="I175" s="12" t="str">
        <x:v>Merchant / compliance Admin</x:v>
      </x:c>
      <x:c r="J175" s="12" t="str">
        <x:v>Isolated lab</x:v>
      </x:c>
      <x:c r="K175" s="14" t="str"/>
      <x:c r="L175" s="14" t="str"/>
      <x:c r="M175" s="14" t="str"/>
      <x:c r="N175" s="14" t="str"/>
      <x:c r="O175" s="15" t="str"/>
      <x:c r="P175" s="14" t="str"/>
      <x:c r="Q175" s="14" t="str"/>
    </x:row>
    <x:row r="176" ht="70" customHeight="1">
      <x:c r="A176" s="11" t="str">
        <x:v>COMP-011</x:v>
      </x:c>
      <x:c r="B176" s="11" t="str">
        <x:v>Compliance operations and evidence</x:v>
      </x:c>
      <x:c r="C176" s="11" t="str">
        <x:v>P1</x:v>
      </x:c>
      <x:c r="D176" s="13" t="str">
        <x:v>Not Run</x:v>
      </x:c>
      <x:c r="E176" s="11" t="str">
        <x:v>Compliance notices and documentation</x:v>
      </x:c>
      <x:c r="F176" s="11" t="str">
        <x:v>Compare UI labels, downloadable guides and current workflow capabilities.</x:v>
      </x:c>
      <x:c r="G176" s="11" t="str">
        <x:v>Unconfigured transport, internal preparation and official acceptance are distinguished. No unsupported certification claim.</x:v>
      </x:c>
      <x:c r="H176" s="11" t="str">
        <x:v>D05, D06, D15</x:v>
      </x:c>
      <x:c r="I176" s="11" t="str">
        <x:v>Merchant / compliance Admin</x:v>
      </x:c>
      <x:c r="J176" s="11" t="str">
        <x:v>Staging</x:v>
      </x:c>
      <x:c r="K176" s="14" t="str"/>
      <x:c r="L176" s="14" t="str"/>
      <x:c r="M176" s="14" t="str"/>
      <x:c r="N176" s="14" t="str"/>
      <x:c r="O176" s="15" t="str"/>
      <x:c r="P176" s="14" t="str"/>
      <x:c r="Q176" s="14" t="str"/>
    </x:row>
    <x:row r="177" ht="70" customHeight="1">
      <x:c r="A177" s="12" t="str">
        <x:v>BIR-001</x:v>
      </x:c>
      <x:c r="B177" s="12" t="str">
        <x:v>BIR EIS preparation and adapter</x:v>
      </x:c>
      <x:c r="C177" s="12" t="str">
        <x:v>P0</x:v>
      </x:c>
      <x:c r="D177" s="13" t="str">
        <x:v>Not Run</x:v>
      </x:c>
      <x:c r="E177" s="12" t="str">
        <x:v>Company candidate and transmission lists</x:v>
      </x:c>
      <x:c r="F177" s="12" t="str">
        <x:v>Open candidate documents separately from transmission attempts; filter by company, branch, dates, status and environment.</x:v>
      </x:c>
      <x:c r="G177" s="12" t="str">
        <x:v>Eligible stored transactions are discoverable even with no submission attempt. Candidate and transmission counts remain distinct.</x:v>
      </x:c>
      <x:c r="H177" s="12" t="str">
        <x:v>D15, D16</x:v>
      </x:c>
      <x:c r="I177" s="12" t="str">
        <x:v>Super Admin / integration QA</x:v>
      </x:c>
      <x:c r="J177" s="12" t="str">
        <x:v>Staging</x:v>
      </x:c>
      <x:c r="K177" s="14" t="str"/>
      <x:c r="L177" s="14" t="str"/>
      <x:c r="M177" s="14" t="str"/>
      <x:c r="N177" s="14" t="str"/>
      <x:c r="O177" s="15" t="str"/>
      <x:c r="P177" s="14" t="str"/>
      <x:c r="Q177" s="14" t="str"/>
    </x:row>
    <x:row r="178" ht="70" customHeight="1">
      <x:c r="A178" s="11" t="str">
        <x:v>BIR-002</x:v>
      </x:c>
      <x:c r="B178" s="11" t="str">
        <x:v>BIR EIS preparation and adapter</x:v>
      </x:c>
      <x:c r="C178" s="11" t="str">
        <x:v>P0</x:v>
      </x:c>
      <x:c r="D178" s="13" t="str">
        <x:v>Not Run</x:v>
      </x:c>
      <x:c r="E178" s="11" t="str">
        <x:v>Prepare selected or company batch</x:v>
      </x:c>
      <x:c r="F178" s="11" t="str">
        <x:v>Prepare selected owned documents or a filtered company batch; inspect final mapped count and payload.</x:v>
      </x:c>
      <x:c r="G178" s="11" t="str">
        <x:v>Company/branch/environment scope is retained, required source checks run, and limits apply after any tax-class split.</x:v>
      </x:c>
      <x:c r="H178" s="11" t="str">
        <x:v>D15, D16</x:v>
      </x:c>
      <x:c r="I178" s="11" t="str">
        <x:v>Super Admin / integration QA</x:v>
      </x:c>
      <x:c r="J178" s="11" t="str">
        <x:v>Staging</x:v>
      </x:c>
      <x:c r="K178" s="14" t="str"/>
      <x:c r="L178" s="14" t="str"/>
      <x:c r="M178" s="14" t="str"/>
      <x:c r="N178" s="14" t="str"/>
      <x:c r="O178" s="15" t="str"/>
      <x:c r="P178" s="14" t="str"/>
      <x:c r="Q178" s="14" t="str"/>
    </x:row>
    <x:row r="179" ht="70" customHeight="1">
      <x:c r="A179" s="12" t="str">
        <x:v>BIR-003</x:v>
      </x:c>
      <x:c r="B179" s="12" t="str">
        <x:v>BIR EIS preparation and adapter</x:v>
      </x:c>
      <x:c r="C179" s="12" t="str">
        <x:v>P0</x:v>
      </x:c>
      <x:c r="D179" s="13" t="str">
        <x:v>Not Run</x:v>
      </x:c>
      <x:c r="E179" s="12" t="str">
        <x:v>Prepared batch idempotency</x:v>
      </x:c>
      <x:c r="F179" s="12" t="str">
        <x:v>Prepare same request twice; change payload under same request identity; cancel a never-sent batch.</x:v>
      </x:c>
      <x:c r="G179" s="12" t="str">
        <x:v>No duplicate batch claim; changed payload conflicts; cancellation preserves audit history.</x:v>
      </x:c>
      <x:c r="H179" s="12" t="str">
        <x:v>D15, D16</x:v>
      </x:c>
      <x:c r="I179" s="12" t="str">
        <x:v>Super Admin / integration QA</x:v>
      </x:c>
      <x:c r="J179" s="12" t="str">
        <x:v>Staging</x:v>
      </x:c>
      <x:c r="K179" s="14" t="str"/>
      <x:c r="L179" s="14" t="str"/>
      <x:c r="M179" s="14" t="str"/>
      <x:c r="N179" s="14" t="str"/>
      <x:c r="O179" s="15" t="str"/>
      <x:c r="P179" s="14" t="str"/>
      <x:c r="Q179" s="14" t="str"/>
    </x:row>
    <x:row r="180" ht="70" customHeight="1">
      <x:c r="A180" s="11" t="str">
        <x:v>BIR-004</x:v>
      </x:c>
      <x:c r="B180" s="11" t="str">
        <x:v>BIR EIS preparation and adapter</x:v>
      </x:c>
      <x:c r="C180" s="11" t="str">
        <x:v>P0</x:v>
      </x:c>
      <x:c r="D180" s="13" t="str">
        <x:v>Not Run</x:v>
      </x:c>
      <x:c r="E180" s="11" t="str">
        <x:v>Disabled outbound controls</x:v>
      </x:c>
      <x:c r="F180" s="11" t="str">
        <x:v>Keep outbound disabled, configure synthetic connection and try authentication, release and worker execution.</x:v>
      </x:c>
      <x:c r="G180" s="11" t="str">
        <x:v>No external request is sent; UI explains the missing gate and no document is marked BIR accepted.</x:v>
      </x:c>
      <x:c r="H180" s="11" t="str">
        <x:v>D15, D16</x:v>
      </x:c>
      <x:c r="I180" s="11" t="str">
        <x:v>Super Admin / integration QA</x:v>
      </x:c>
      <x:c r="J180" s="11" t="str">
        <x:v>Isolated lab</x:v>
      </x:c>
      <x:c r="K180" s="14" t="str"/>
      <x:c r="L180" s="14" t="str"/>
      <x:c r="M180" s="14" t="str"/>
      <x:c r="N180" s="14" t="str"/>
      <x:c r="O180" s="15" t="str"/>
      <x:c r="P180" s="14" t="str"/>
      <x:c r="Q180" s="14" t="str"/>
    </x:row>
    <x:row r="181" ht="70" customHeight="1">
      <x:c r="A181" s="12" t="str">
        <x:v>BIR-005</x:v>
      </x:c>
      <x:c r="B181" s="12" t="str">
        <x:v>BIR EIS preparation and adapter</x:v>
      </x:c>
      <x:c r="C181" s="12" t="str">
        <x:v>P0</x:v>
      </x:c>
      <x:c r="D181" s="13" t="str">
        <x:v>Not Run</x:v>
      </x:c>
      <x:c r="E181" s="12" t="str">
        <x:v>Private credential storage and roles</x:v>
      </x:c>
      <x:c r="F181" s="12" t="str">
        <x:v>Save synthetic credential bundle and inspect API/list/export/logs with multiple roles.</x:v>
      </x:c>
      <x:c r="G181" s="12" t="str">
        <x:v>Secrets are encrypted and never returned; privileged configuration requires authorized MFA.</x:v>
      </x:c>
      <x:c r="H181" s="12" t="str">
        <x:v>D15, D16</x:v>
      </x:c>
      <x:c r="I181" s="12" t="str">
        <x:v>Super Admin / integration QA</x:v>
      </x:c>
      <x:c r="J181" s="12" t="str">
        <x:v>Isolated lab</x:v>
      </x:c>
      <x:c r="K181" s="14" t="str"/>
      <x:c r="L181" s="14" t="str"/>
      <x:c r="M181" s="14" t="str"/>
      <x:c r="N181" s="14" t="str"/>
      <x:c r="O181" s="15" t="str"/>
      <x:c r="P181" s="14" t="str"/>
      <x:c r="Q181" s="14" t="str"/>
    </x:row>
    <x:row r="182" ht="70" customHeight="1">
      <x:c r="A182" s="11" t="str">
        <x:v>BIR-006</x:v>
      </x:c>
      <x:c r="B182" s="11" t="str">
        <x:v>BIR EIS preparation and adapter</x:v>
      </x:c>
      <x:c r="C182" s="11" t="str">
        <x:v>P0</x:v>
      </x:c>
      <x:c r="D182" s="13" t="str">
        <x:v>Not Run</x:v>
      </x:c>
      <x:c r="E182" s="11" t="str">
        <x:v>Mapper and protocol fixtures</x:v>
      </x:c>
      <x:c r="F182" s="11" t="str">
        <x:v>Run maintained CAS/POS fixtures for IDs, signatures, precision, tax classes, correction references and response parsing.</x:v>
      </x:c>
      <x:c r="G182" s="11" t="str">
        <x:v>Outputs match the selected documented dialect and immutable source totals. Unsupported/inconsistent input is blocked.</x:v>
      </x:c>
      <x:c r="H182" s="11" t="str">
        <x:v>D15, D16</x:v>
      </x:c>
      <x:c r="I182" s="11" t="str">
        <x:v>Super Admin / integration QA</x:v>
      </x:c>
      <x:c r="J182" s="11" t="str">
        <x:v>Isolated lab</x:v>
      </x:c>
      <x:c r="K182" s="14" t="str"/>
      <x:c r="L182" s="14" t="str"/>
      <x:c r="M182" s="14" t="str"/>
      <x:c r="N182" s="14" t="str"/>
      <x:c r="O182" s="15" t="str"/>
      <x:c r="P182" s="14" t="str"/>
      <x:c r="Q182" s="14" t="str"/>
    </x:row>
    <x:row r="183" ht="70" customHeight="1">
      <x:c r="A183" s="12" t="str">
        <x:v>BIR-007</x:v>
      </x:c>
      <x:c r="B183" s="12" t="str">
        <x:v>BIR EIS preparation and adapter</x:v>
      </x:c>
      <x:c r="C183" s="12" t="str">
        <x:v>P0</x:v>
      </x:c>
      <x:c r="D183" s="13" t="str">
        <x:v>Not Run</x:v>
      </x:c>
      <x:c r="E183" s="12" t="str">
        <x:v>Unknown submission outcome</x:v>
      </x:c>
      <x:c r="F183" s="12" t="str">
        <x:v>Fake a timeout after potential send, then return inquiry results using the same Submit ID.</x:v>
      </x:c>
      <x:c r="G183" s="12" t="str">
        <x:v>No second invoice POST. State stays uncertain until authenticated per-invoice evidence resolves it.</x:v>
      </x:c>
      <x:c r="H183" s="12" t="str">
        <x:v>D15, D16</x:v>
      </x:c>
      <x:c r="I183" s="12" t="str">
        <x:v>Super Admin / integration QA</x:v>
      </x:c>
      <x:c r="J183" s="12" t="str">
        <x:v>Isolated lab</x:v>
      </x:c>
      <x:c r="K183" s="14" t="str"/>
      <x:c r="L183" s="14" t="str"/>
      <x:c r="M183" s="14" t="str"/>
      <x:c r="N183" s="14" t="str"/>
      <x:c r="O183" s="15" t="str"/>
      <x:c r="P183" s="14" t="str"/>
      <x:c r="Q183" s="14" t="str"/>
    </x:row>
    <x:row r="184" ht="70" customHeight="1">
      <x:c r="A184" s="11" t="str">
        <x:v>BIR-008</x:v>
      </x:c>
      <x:c r="B184" s="11" t="str">
        <x:v>BIR EIS preparation and adapter</x:v>
      </x:c>
      <x:c r="C184" s="11" t="str">
        <x:v>P0</x:v>
      </x:c>
      <x:c r="D184" s="13" t="str">
        <x:v>Not Run</x:v>
      </x:c>
      <x:c r="E184" s="11" t="str">
        <x:v>Partial, duplicate and malformed results</x:v>
      </x:c>
      <x:c r="F184" s="11" t="str">
        <x:v>Fake partial success, duplicate result, missing/extra UID, wrong identity and unknown response code.</x:v>
      </x:c>
      <x:c r="G184" s="11" t="str">
        <x:v>No false full acceptance. Exact expected identities/counts are checked and exceptions remain reviewable.</x:v>
      </x:c>
      <x:c r="H184" s="11" t="str">
        <x:v>D15, D16</x:v>
      </x:c>
      <x:c r="I184" s="11" t="str">
        <x:v>Super Admin / integration QA</x:v>
      </x:c>
      <x:c r="J184" s="11" t="str">
        <x:v>Isolated lab</x:v>
      </x:c>
      <x:c r="K184" s="14" t="str"/>
      <x:c r="L184" s="14" t="str"/>
      <x:c r="M184" s="14" t="str"/>
      <x:c r="N184" s="14" t="str"/>
      <x:c r="O184" s="15" t="str"/>
      <x:c r="P184" s="14" t="str"/>
      <x:c r="Q184" s="14" t="str"/>
    </x:row>
    <x:row r="185" ht="70" customHeight="1">
      <x:c r="A185" s="12" t="str">
        <x:v>BIR-009</x:v>
      </x:c>
      <x:c r="B185" s="12" t="str">
        <x:v>BIR EIS preparation and adapter</x:v>
      </x:c>
      <x:c r="C185" s="12" t="str">
        <x:v>P0</x:v>
      </x:c>
      <x:c r="D185" s="13" t="str">
        <x:v>Not Run</x:v>
      </x:c>
      <x:c r="E185" s="12" t="str">
        <x:v>Release authority recheck</x:v>
      </x:c>
      <x:c r="F185" s="12" t="str">
        <x:v>Prepare a valid test batch, then expire/revoke permit, key or profile before release.</x:v>
      </x:c>
      <x:c r="G185" s="12" t="str">
        <x:v>New send is blocked by current gates. Safe inquiry of prior sends remains independently controlled.</x:v>
      </x:c>
      <x:c r="H185" s="12" t="str">
        <x:v>D15, D16</x:v>
      </x:c>
      <x:c r="I185" s="12" t="str">
        <x:v>Super Admin / integration QA</x:v>
      </x:c>
      <x:c r="J185" s="12" t="str">
        <x:v>Isolated lab</x:v>
      </x:c>
      <x:c r="K185" s="14" t="str"/>
      <x:c r="L185" s="14" t="str"/>
      <x:c r="M185" s="14" t="str"/>
      <x:c r="N185" s="14" t="str"/>
      <x:c r="O185" s="15" t="str"/>
      <x:c r="P185" s="14" t="str"/>
      <x:c r="Q185" s="14" t="str"/>
    </x:row>
    <x:row r="186" ht="70" customHeight="1">
      <x:c r="A186" s="11" t="str">
        <x:v>BIR-010</x:v>
      </x:c>
      <x:c r="B186" s="11" t="str">
        <x:v>BIR EIS preparation and adapter</x:v>
      </x:c>
      <x:c r="C186" s="11" t="str">
        <x:v>P0</x:v>
      </x:c>
      <x:c r="D186" s="13" t="str">
        <x:v>Not Run</x:v>
      </x:c>
      <x:c r="E186" s="11" t="str">
        <x:v>Callback and environment isolation</x:v>
      </x:c>
      <x:c r="F186" s="11" t="str">
        <x:v>With fakes, test bad signature, replay and wrong tenant/environment callback.</x:v>
      </x:c>
      <x:c r="G186" s="11" t="str">
        <x:v>Callback cannot directly declare acceptance; certification never increases production acceptance totals.</x:v>
      </x:c>
      <x:c r="H186" s="11" t="str">
        <x:v>D15, D16</x:v>
      </x:c>
      <x:c r="I186" s="11" t="str">
        <x:v>Super Admin / integration QA</x:v>
      </x:c>
      <x:c r="J186" s="11" t="str">
        <x:v>Isolated lab</x:v>
      </x:c>
      <x:c r="K186" s="14" t="str"/>
      <x:c r="L186" s="14" t="str"/>
      <x:c r="M186" s="14" t="str"/>
      <x:c r="N186" s="14" t="str"/>
      <x:c r="O186" s="15" t="str"/>
      <x:c r="P186" s="14" t="str"/>
      <x:c r="Q186" s="14" t="str"/>
    </x:row>
    <x:row r="187" ht="70" customHeight="1">
      <x:c r="A187" s="12" t="str">
        <x:v>BIR-011</x:v>
      </x:c>
      <x:c r="B187" s="12" t="str">
        <x:v>BIR EIS preparation and adapter</x:v>
      </x:c>
      <x:c r="C187" s="12" t="str">
        <x:v>P0</x:v>
      </x:c>
      <x:c r="D187" s="13" t="str">
        <x:v>Not Run</x:v>
      </x:c>
      <x:c r="E187" s="12" t="str">
        <x:v>BIR-issued authentication and contract</x:v>
      </x:c>
      <x:c r="F187" s="12" t="str">
        <x:v>When credentials arrive, confirm official endpoint/version/dialect and run prescribed certification authentication.</x:v>
      </x:c>
      <x:c r="G187" s="12" t="str">
        <x:v>Actual issued credentials interoperate with the confirmed contract; retain real certification evidence.</x:v>
      </x:c>
      <x:c r="H187" s="12" t="str">
        <x:v>D15, D16</x:v>
      </x:c>
      <x:c r="I187" s="12" t="str">
        <x:v>Super Admin / integration QA</x:v>
      </x:c>
      <x:c r="J187" s="12" t="str">
        <x:v>BIR credentials required</x:v>
      </x:c>
      <x:c r="K187" s="14" t="str"/>
      <x:c r="L187" s="14" t="str"/>
      <x:c r="M187" s="14" t="str"/>
      <x:c r="N187" s="14" t="str"/>
      <x:c r="O187" s="15" t="str"/>
      <x:c r="P187" s="14" t="str"/>
      <x:c r="Q187" s="14" t="str"/>
    </x:row>
    <x:row r="188" ht="70" customHeight="1">
      <x:c r="A188" s="11" t="str">
        <x:v>BIR-012</x:v>
      </x:c>
      <x:c r="B188" s="11" t="str">
        <x:v>BIR EIS preparation and adapter</x:v>
      </x:c>
      <x:c r="C188" s="11" t="str">
        <x:v>P0</x:v>
      </x:c>
      <x:c r="D188" s="13" t="str">
        <x:v>Not Run</x:v>
      </x:c>
      <x:c r="E188" s="11" t="str">
        <x:v>Official certification scenario suite</x:v>
      </x:c>
      <x:c r="F188" s="11" t="str">
        <x:v>Run the BIR-prescribed positive/negative and representative CAS/POS scenarios after authorized setup.</x:v>
      </x:c>
      <x:c r="G188" s="11" t="str">
        <x:v>Each required official scenario has actual evidence and resolved discrepancies; lab passes are not substituted.</x:v>
      </x:c>
      <x:c r="H188" s="11" t="str">
        <x:v>D15, D16</x:v>
      </x:c>
      <x:c r="I188" s="11" t="str">
        <x:v>Super Admin / integration QA</x:v>
      </x:c>
      <x:c r="J188" s="11" t="str">
        <x:v>BIR credentials required</x:v>
      </x:c>
      <x:c r="K188" s="14" t="str"/>
      <x:c r="L188" s="14" t="str"/>
      <x:c r="M188" s="14" t="str"/>
      <x:c r="N188" s="14" t="str"/>
      <x:c r="O188" s="15" t="str"/>
      <x:c r="P188" s="14" t="str"/>
      <x:c r="Q188" s="14" t="str"/>
    </x:row>
    <x:row r="189" ht="70" customHeight="1">
      <x:c r="A189" s="12" t="str">
        <x:v>BIR-013</x:v>
      </x:c>
      <x:c r="B189" s="12" t="str">
        <x:v>BIR EIS preparation and adapter</x:v>
      </x:c>
      <x:c r="C189" s="12" t="str">
        <x:v>P0</x:v>
      </x:c>
      <x:c r="D189" s="13" t="str">
        <x:v>Not Run</x:v>
      </x:c>
      <x:c r="E189" s="12" t="str">
        <x:v>Production activation and acceptance</x:v>
      </x:c>
      <x:c r="F189" s="12" t="str">
        <x:v>After authority/certification approval, test controlled production release, inquiry and reconciliation under the approved plan.</x:v>
      </x:c>
      <x:c r="G189" s="12" t="str">
        <x:v>Authentic complete per-invoice acceptance is recorded; remaining activation gates are signed off.</x:v>
      </x:c>
      <x:c r="H189" s="12" t="str">
        <x:v>D15, D16</x:v>
      </x:c>
      <x:c r="I189" s="12" t="str">
        <x:v>Super Admin / integration QA</x:v>
      </x:c>
      <x:c r="J189" s="12" t="str">
        <x:v>BIR authorization required</x:v>
      </x:c>
      <x:c r="K189" s="14" t="str"/>
      <x:c r="L189" s="14" t="str"/>
      <x:c r="M189" s="14" t="str"/>
      <x:c r="N189" s="14" t="str"/>
      <x:c r="O189" s="15" t="str"/>
      <x:c r="P189" s="14" t="str"/>
      <x:c r="Q189" s="14" t="str"/>
    </x:row>
    <x:row r="190" ht="70" customHeight="1">
      <x:c r="A190" s="11" t="str">
        <x:v>OPS-001</x:v>
      </x:c>
      <x:c r="B190" s="11" t="str">
        <x:v>Server management and recovery</x:v>
      </x:c>
      <x:c r="C190" s="11" t="str">
        <x:v>P1</x:v>
      </x:c>
      <x:c r="D190" s="13" t="str">
        <x:v>Not Run</x:v>
      </x:c>
      <x:c r="E190" s="11" t="str">
        <x:v>Inventory and standard font sizes</x:v>
      </x:c>
      <x:c r="F190" s="11" t="str">
        <x:v>Inspect grid/table, all server tabs, search/filter and responsive details.</x:v>
      </x:c>
      <x:c r="G190" s="11" t="str">
        <x:v>Readable controls and metrics; planned/unconfigured nodes are labeled accurately with no fabricated telemetry.</x:v>
      </x:c>
      <x:c r="H190" s="11" t="str">
        <x:v>D17, D18</x:v>
      </x:c>
      <x:c r="I190" s="11" t="str">
        <x:v>Super Admin / operations QA</x:v>
      </x:c>
      <x:c r="J190" s="11" t="str">
        <x:v>Staging</x:v>
      </x:c>
      <x:c r="K190" s="14" t="str"/>
      <x:c r="L190" s="14" t="str"/>
      <x:c r="M190" s="14" t="str"/>
      <x:c r="N190" s="14" t="str"/>
      <x:c r="O190" s="15" t="str"/>
      <x:c r="P190" s="14" t="str"/>
      <x:c r="Q190" s="14" t="str"/>
    </x:row>
    <x:row r="191" ht="70" customHeight="1">
      <x:c r="A191" s="12" t="str">
        <x:v>OPS-002</x:v>
      </x:c>
      <x:c r="B191" s="12" t="str">
        <x:v>Server management and recovery</x:v>
      </x:c>
      <x:c r="C191" s="12" t="str">
        <x:v>P0</x:v>
      </x:c>
      <x:c r="D191" s="13" t="str">
        <x:v>Not Run</x:v>
      </x:c>
      <x:c r="E191" s="12" t="str">
        <x:v>Privileged infrastructure access</x:v>
      </x:c>
      <x:c r="F191" s="12" t="str">
        <x:v>Try server/backup settings and actions as anonymous, merchant and unauthorized admin.</x:v>
      </x:c>
      <x:c r="G191" s="12" t="str">
        <x:v>Denied before dispatch, including direct endpoints and exports.</x:v>
      </x:c>
      <x:c r="H191" s="12" t="str">
        <x:v>D17, D18</x:v>
      </x:c>
      <x:c r="I191" s="12" t="str">
        <x:v>Super Admin / operations QA</x:v>
      </x:c>
      <x:c r="J191" s="12" t="str">
        <x:v>Staging</x:v>
      </x:c>
      <x:c r="K191" s="14" t="str"/>
      <x:c r="L191" s="14" t="str"/>
      <x:c r="M191" s="14" t="str"/>
      <x:c r="N191" s="14" t="str"/>
      <x:c r="O191" s="15" t="str"/>
      <x:c r="P191" s="14" t="str"/>
      <x:c r="Q191" s="14" t="str"/>
    </x:row>
    <x:row r="192" ht="70" customHeight="1">
      <x:c r="A192" s="11" t="str">
        <x:v>OPS-003</x:v>
      </x:c>
      <x:c r="B192" s="11" t="str">
        <x:v>Server management and recovery</x:v>
      </x:c>
      <x:c r="C192" s="11" t="str">
        <x:v>P0</x:v>
      </x:c>
      <x:c r="D192" s="13" t="str">
        <x:v>Not Run</x:v>
      </x:c>
      <x:c r="E192" s="11" t="str">
        <x:v>Disabled controller and action preflight</x:v>
      </x:c>
      <x:c r="F192" s="11" t="str">
        <x:v>With controller disabled, try reboot/shutdown/service action review using a test inventory.</x:v>
      </x:c>
      <x:c r="G192" s="11" t="str">
        <x:v>No command runs. Missing prerequisites are clearly shown.</x:v>
      </x:c>
      <x:c r="H192" s="11" t="str">
        <x:v>D17, D18</x:v>
      </x:c>
      <x:c r="I192" s="11" t="str">
        <x:v>Super Admin / operations QA</x:v>
      </x:c>
      <x:c r="J192" s="11" t="str">
        <x:v>Isolated lab</x:v>
      </x:c>
      <x:c r="K192" s="14" t="str"/>
      <x:c r="L192" s="14" t="str"/>
      <x:c r="M192" s="14" t="str"/>
      <x:c r="N192" s="14" t="str"/>
      <x:c r="O192" s="15" t="str"/>
      <x:c r="P192" s="14" t="str"/>
      <x:c r="Q192" s="14" t="str"/>
    </x:row>
    <x:row r="193" ht="70" customHeight="1">
      <x:c r="A193" s="12" t="str">
        <x:v>OPS-004</x:v>
      </x:c>
      <x:c r="B193" s="12" t="str">
        <x:v>Server management and recovery</x:v>
      </x:c>
      <x:c r="C193" s="12" t="str">
        <x:v>P0</x:v>
      </x:c>
      <x:c r="D193" s="13" t="str">
        <x:v>Not Run</x:v>
      </x:c>
      <x:c r="E193" s="12" t="str">
        <x:v>Approval, MFA and stale preflight</x:v>
      </x:c>
      <x:c r="F193" s="12" t="str">
        <x:v>With fake controller, test step-up expiry, replay, self-approval, changed revision and unsafe peer/quorum conditions.</x:v>
      </x:c>
      <x:c r="G193" s="12" t="str">
        <x:v>Unsafe or unauthorized action is blocked. Dispatch rechecks current conditions.</x:v>
      </x:c>
      <x:c r="H193" s="12" t="str">
        <x:v>D17, D18</x:v>
      </x:c>
      <x:c r="I193" s="12" t="str">
        <x:v>Super Admin / operations QA</x:v>
      </x:c>
      <x:c r="J193" s="12" t="str">
        <x:v>Isolated lab</x:v>
      </x:c>
      <x:c r="K193" s="14" t="str"/>
      <x:c r="L193" s="14" t="str"/>
      <x:c r="M193" s="14" t="str"/>
      <x:c r="N193" s="14" t="str"/>
      <x:c r="O193" s="15" t="str"/>
      <x:c r="P193" s="14" t="str"/>
      <x:c r="Q193" s="14" t="str"/>
    </x:row>
    <x:row r="194" ht="70" customHeight="1">
      <x:c r="A194" s="11" t="str">
        <x:v>OPS-005</x:v>
      </x:c>
      <x:c r="B194" s="11" t="str">
        <x:v>Server management and recovery</x:v>
      </x:c>
      <x:c r="C194" s="11" t="str">
        <x:v>P0</x:v>
      </x:c>
      <x:c r="D194" s="13" t="str">
        <x:v>Not Run</x:v>
      </x:c>
      <x:c r="E194" s="11" t="str">
        <x:v>Command allowlist and idempotency</x:v>
      </x:c>
      <x:c r="F194" s="11" t="str">
        <x:v>Use fake controller to test duplicate action IDs, invalid service/command/target and ambiguous response.</x:v>
      </x:c>
      <x:c r="G194" s="11" t="str">
        <x:v>Only allowlisted actions dispatch once. Ambiguous outcomes stay locked for reconciliation.</x:v>
      </x:c>
      <x:c r="H194" s="11" t="str">
        <x:v>D17, D18</x:v>
      </x:c>
      <x:c r="I194" s="11" t="str">
        <x:v>Super Admin / operations QA</x:v>
      </x:c>
      <x:c r="J194" s="11" t="str">
        <x:v>Isolated lab</x:v>
      </x:c>
      <x:c r="K194" s="14" t="str"/>
      <x:c r="L194" s="14" t="str"/>
      <x:c r="M194" s="14" t="str"/>
      <x:c r="N194" s="14" t="str"/>
      <x:c r="O194" s="15" t="str"/>
      <x:c r="P194" s="14" t="str"/>
      <x:c r="Q194" s="14" t="str"/>
    </x:row>
    <x:row r="195" ht="70" customHeight="1">
      <x:c r="A195" s="12" t="str">
        <x:v>OPS-006</x:v>
      </x:c>
      <x:c r="B195" s="12" t="str">
        <x:v>Server management and recovery</x:v>
      </x:c>
      <x:c r="C195" s="12" t="str">
        <x:v>P1</x:v>
      </x:c>
      <x:c r="D195" s="13" t="str">
        <x:v>Not Run</x:v>
      </x:c>
      <x:c r="E195" s="12" t="str">
        <x:v>Telemetry freshness</x:v>
      </x:c>
      <x:c r="F195" s="12" t="str">
        <x:v>Inject fresh, stale, repeated and wrong-identity synthetic telemetry.</x:v>
      </x:c>
      <x:c r="G195" s="12" t="str">
        <x:v>Only valid fresh telemetry updates live status. Old samples do not extend freshness.</x:v>
      </x:c>
      <x:c r="H195" s="12" t="str">
        <x:v>D17, D18</x:v>
      </x:c>
      <x:c r="I195" s="12" t="str">
        <x:v>Super Admin / operations QA</x:v>
      </x:c>
      <x:c r="J195" s="12" t="str">
        <x:v>Isolated lab</x:v>
      </x:c>
      <x:c r="K195" s="14" t="str"/>
      <x:c r="L195" s="14" t="str"/>
      <x:c r="M195" s="14" t="str"/>
      <x:c r="N195" s="14" t="str"/>
      <x:c r="O195" s="15" t="str"/>
      <x:c r="P195" s="14" t="str"/>
      <x:c r="Q195" s="14" t="str"/>
    </x:row>
    <x:row r="196" ht="70" customHeight="1">
      <x:c r="A196" s="11" t="str">
        <x:v>OPS-007</x:v>
      </x:c>
      <x:c r="B196" s="11" t="str">
        <x:v>Server management and recovery</x:v>
      </x:c>
      <x:c r="C196" s="11" t="str">
        <x:v>P0</x:v>
      </x:c>
      <x:c r="D196" s="13" t="str">
        <x:v>Not Run</x:v>
      </x:c>
      <x:c r="E196" s="11" t="str">
        <x:v>Backup creation and corruption detection</x:v>
      </x:c>
      <x:c r="F196" s="11" t="str">
        <x:v>Create encrypted lab backup; verify checksum; try wrong key, truncated archive and altered bytes.</x:v>
      </x:c>
      <x:c r="G196" s="11" t="str">
        <x:v>Valid archive verifies; corruption/wrong key fail closed. Credentials remain separately controlled.</x:v>
      </x:c>
      <x:c r="H196" s="11" t="str">
        <x:v>D17, D18</x:v>
      </x:c>
      <x:c r="I196" s="11" t="str">
        <x:v>Super Admin / operations QA</x:v>
      </x:c>
      <x:c r="J196" s="11" t="str">
        <x:v>Isolated lab</x:v>
      </x:c>
      <x:c r="K196" s="14" t="str"/>
      <x:c r="L196" s="14" t="str"/>
      <x:c r="M196" s="14" t="str"/>
      <x:c r="N196" s="14" t="str"/>
      <x:c r="O196" s="15" t="str"/>
      <x:c r="P196" s="14" t="str"/>
      <x:c r="Q196" s="14" t="str"/>
    </x:row>
    <x:row r="197" ht="70" customHeight="1">
      <x:c r="A197" s="12" t="str">
        <x:v>OPS-008</x:v>
      </x:c>
      <x:c r="B197" s="12" t="str">
        <x:v>Server management and recovery</x:v>
      </x:c>
      <x:c r="C197" s="12" t="str">
        <x:v>P0</x:v>
      </x:c>
      <x:c r="D197" s="13" t="str">
        <x:v>Not Run</x:v>
      </x:c>
      <x:c r="E197" s="12" t="str">
        <x:v>Isolated restore and reconciliation</x:v>
      </x:c>
      <x:c r="F197" s="12" t="str">
        <x:v>Restore lab backup to empty isolated targets; compare counts, balances, documents, attachments and sequences.</x:v>
      </x:c>
      <x:c r="G197" s="12" t="str">
        <x:v>Data reconciles to the backup snapshot. Restore cannot overwrite unintended paths/targets.</x:v>
      </x:c>
      <x:c r="H197" s="12" t="str">
        <x:v>D17, D18</x:v>
      </x:c>
      <x:c r="I197" s="12" t="str">
        <x:v>Super Admin / operations QA</x:v>
      </x:c>
      <x:c r="J197" s="12" t="str">
        <x:v>Isolated lab</x:v>
      </x:c>
      <x:c r="K197" s="14" t="str"/>
      <x:c r="L197" s="14" t="str"/>
      <x:c r="M197" s="14" t="str"/>
      <x:c r="N197" s="14" t="str"/>
      <x:c r="O197" s="15" t="str"/>
      <x:c r="P197" s="14" t="str"/>
      <x:c r="Q197" s="14" t="str"/>
    </x:row>
    <x:row r="198" ht="70" customHeight="1">
      <x:c r="A198" s="11" t="str">
        <x:v>OPS-009</x:v>
      </x:c>
      <x:c r="B198" s="11" t="str">
        <x:v>Server management and recovery</x:v>
      </x:c>
      <x:c r="C198" s="11" t="str">
        <x:v>P1</x:v>
      </x:c>
      <x:c r="D198" s="13" t="str">
        <x:v>Not Run</x:v>
      </x:c>
      <x:c r="E198" s="11" t="str">
        <x:v>Measured lab RTO and RPO</x:v>
      </x:c>
      <x:c r="F198" s="11" t="str">
        <x:v>Record incident time, latest recoverable committed timestamp, restore start and service validation finish.</x:v>
      </x:c>
      <x:c r="G198" s="11" t="str">
        <x:v>RTO = incident to validated recovery; RPO = incident minus latest recovered committed data time. Report actual lab results and workload.</x:v>
      </x:c>
      <x:c r="H198" s="11" t="str">
        <x:v>D17, D18</x:v>
      </x:c>
      <x:c r="I198" s="11" t="str">
        <x:v>Super Admin / operations QA</x:v>
      </x:c>
      <x:c r="J198" s="11" t="str">
        <x:v>Isolated lab</x:v>
      </x:c>
      <x:c r="K198" s="14" t="str"/>
      <x:c r="L198" s="14" t="str"/>
      <x:c r="M198" s="14" t="str"/>
      <x:c r="N198" s="14" t="str"/>
      <x:c r="O198" s="15" t="str"/>
      <x:c r="P198" s="14" t="str"/>
      <x:c r="Q198" s="14" t="str"/>
    </x:row>
    <x:row r="199" ht="70" customHeight="1">
      <x:c r="A199" s="12" t="str">
        <x:v>OPS-010</x:v>
      </x:c>
      <x:c r="B199" s="12" t="str">
        <x:v>Server management and recovery</x:v>
      </x:c>
      <x:c r="C199" s="12" t="str">
        <x:v>P0</x:v>
      </x:c>
      <x:c r="D199" s="13" t="str">
        <x:v>Not Run</x:v>
      </x:c>
      <x:c r="E199" s="12" t="str">
        <x:v>Offsite backup and production DR</x:v>
      </x:c>
      <x:c r="F199" s="12" t="str">
        <x:v>After storage is provisioned, test separate custody, restore access and controlled production-equivalent recovery.</x:v>
      </x:c>
      <x:c r="G199" s="12" t="str">
        <x:v>Real evidence meets approved recovery targets. Planned providers/regions are not reported as already deployed.</x:v>
      </x:c>
      <x:c r="H199" s="12" t="str">
        <x:v>D17, D18</x:v>
      </x:c>
      <x:c r="I199" s="12" t="str">
        <x:v>Super Admin / operations QA</x:v>
      </x:c>
      <x:c r="J199" s="12" t="str">
        <x:v>Infrastructure required</x:v>
      </x:c>
      <x:c r="K199" s="14" t="str"/>
      <x:c r="L199" s="14" t="str"/>
      <x:c r="M199" s="14" t="str"/>
      <x:c r="N199" s="14" t="str"/>
      <x:c r="O199" s="15" t="str"/>
      <x:c r="P199" s="14" t="str"/>
      <x:c r="Q199" s="14" t="str"/>
    </x:row>
    <x:row r="200" ht="70" customHeight="1">
      <x:c r="A200" s="11" t="str">
        <x:v>OPS-011</x:v>
      </x:c>
      <x:c r="B200" s="11" t="str">
        <x:v>Server management and recovery</x:v>
      </x:c>
      <x:c r="C200" s="11" t="str">
        <x:v>P0</x:v>
      </x:c>
      <x:c r="D200" s="13" t="str">
        <x:v>Not Run</x:v>
      </x:c>
      <x:c r="E200" s="11" t="str">
        <x:v>Real controller and failover</x:v>
      </x:c>
      <x:c r="F200" s="11" t="str">
        <x:v>When agents/controller/HA are provisioned, execute approved isolated service/failover/quorum/network recovery drills.</x:v>
      </x:c>
      <x:c r="G200" s="11" t="str">
        <x:v>Actual identity, mTLS, locking, rollback and postchecks succeed with documented evidence.</x:v>
      </x:c>
      <x:c r="H200" s="11" t="str">
        <x:v>D17, D18</x:v>
      </x:c>
      <x:c r="I200" s="11" t="str">
        <x:v>Super Admin / operations QA</x:v>
      </x:c>
      <x:c r="J200" s="11" t="str">
        <x:v>Infrastructure required</x:v>
      </x:c>
      <x:c r="K200" s="14" t="str"/>
      <x:c r="L200" s="14" t="str"/>
      <x:c r="M200" s="14" t="str"/>
      <x:c r="N200" s="14" t="str"/>
      <x:c r="O200" s="15" t="str"/>
      <x:c r="P200" s="14" t="str"/>
      <x:c r="Q200" s="14" t="str"/>
    </x:row>
    <x:row r="201" ht="70" customHeight="1">
      <x:c r="A201" s="12" t="str">
        <x:v>OPS-012</x:v>
      </x:c>
      <x:c r="B201" s="12" t="str">
        <x:v>Server management and recovery</x:v>
      </x:c>
      <x:c r="C201" s="12" t="str">
        <x:v>P1</x:v>
      </x:c>
      <x:c r="D201" s="13" t="str">
        <x:v>Not Run</x:v>
      </x:c>
      <x:c r="E201" s="12" t="str">
        <x:v>Alerts and operational recovery</x:v>
      </x:c>
      <x:c r="F201" s="12" t="str">
        <x:v>Simulate stale worker, storage pressure, failed backup, certificate expiry and unavailable dependency in lab.</x:v>
      </x:c>
      <x:c r="G201" s="12" t="str">
        <x:v>Correct actionable alerts and runbooks; no false healthy state or lost queued work.</x:v>
      </x:c>
      <x:c r="H201" s="12" t="str">
        <x:v>D17, D18</x:v>
      </x:c>
      <x:c r="I201" s="12" t="str">
        <x:v>Super Admin / operations QA</x:v>
      </x:c>
      <x:c r="J201" s="12" t="str">
        <x:v>Isolated lab</x:v>
      </x:c>
      <x:c r="K201" s="14" t="str"/>
      <x:c r="L201" s="14" t="str"/>
      <x:c r="M201" s="14" t="str"/>
      <x:c r="N201" s="14" t="str"/>
      <x:c r="O201" s="15" t="str"/>
      <x:c r="P201" s="14" t="str"/>
      <x:c r="Q201" s="14" t="str"/>
    </x:row>
    <x:row r="202" ht="70" customHeight="1">
      <x:c r="A202" s="11" t="str">
        <x:v>OPS-013</x:v>
      </x:c>
      <x:c r="B202" s="11" t="str">
        <x:v>Server management and recovery</x:v>
      </x:c>
      <x:c r="C202" s="11" t="str">
        <x:v>P0</x:v>
      </x:c>
      <x:c r="D202" s="13" t="str">
        <x:v>Not Run</x:v>
      </x:c>
      <x:c r="E202" s="11" t="str">
        <x:v>Exit and portability package</x:v>
      </x:c>
      <x:c r="F202" s="11" t="str">
        <x:v>Export one synthetic merchant package, verify manifest/hashes and restore/import into an isolated target.</x:v>
      </x:c>
      <x:c r="G202" s="11" t="str">
        <x:v>Complete authorized data is usable and reconciled, including attachments and references, with no other tenant data.</x:v>
      </x:c>
      <x:c r="H202" s="11" t="str">
        <x:v>D17, D18</x:v>
      </x:c>
      <x:c r="I202" s="11" t="str">
        <x:v>Super Admin / operations QA</x:v>
      </x:c>
      <x:c r="J202" s="11" t="str">
        <x:v>Isolated lab</x:v>
      </x:c>
      <x:c r="K202" s="14" t="str"/>
      <x:c r="L202" s="14" t="str"/>
      <x:c r="M202" s="14" t="str"/>
      <x:c r="N202" s="14" t="str"/>
      <x:c r="O202" s="15" t="str"/>
      <x:c r="P202" s="14" t="str"/>
      <x:c r="Q202" s="14" t="str"/>
    </x:row>
    <x:row r="203" ht="70" customHeight="1">
      <x:c r="A203" s="12" t="str">
        <x:v>PERF-001</x:v>
      </x:c>
      <x:c r="B203" s="12" t="str">
        <x:v>Scale, resilience and realtime load</x:v>
      </x:c>
      <x:c r="C203" s="12" t="str">
        <x:v>P0</x:v>
      </x:c>
      <x:c r="D203" s="13" t="str">
        <x:v>Not Run</x:v>
      </x:c>
      <x:c r="E203" s="12" t="str">
        <x:v>Million-row admin and merchant grids</x:v>
      </x:c>
      <x:c r="F203" s="12" t="str">
        <x:v>Run first page, filters and deep pagination over 1 million total rows and separately 1 million rows for one merchant.</x:v>
      </x:c>
      <x:c r="G203" s="12" t="str">
        <x:v>Approved p95/p99 targets met with bounded page payloads; no full dataset sent to browser or tenant leakage.</x:v>
      </x:c>
      <x:c r="H203" s="12" t="str">
        <x:v>D13, D18, D19</x:v>
      </x:c>
      <x:c r="I203" s="12" t="str">
        <x:v>Performance QA / operations</x:v>
      </x:c>
      <x:c r="J203" s="12" t="str">
        <x:v>Isolated lab</x:v>
      </x:c>
      <x:c r="K203" s="14" t="str"/>
      <x:c r="L203" s="14" t="str"/>
      <x:c r="M203" s="14" t="str"/>
      <x:c r="N203" s="14" t="str"/>
      <x:c r="O203" s="15" t="str"/>
      <x:c r="P203" s="14" t="str"/>
      <x:c r="Q203" s="14" t="str"/>
    </x:row>
    <x:row r="204" ht="70" customHeight="1">
      <x:c r="A204" s="11" t="str">
        <x:v>PERF-002</x:v>
      </x:c>
      <x:c r="B204" s="11" t="str">
        <x:v>Scale, resilience and realtime load</x:v>
      </x:c>
      <x:c r="C204" s="11" t="str">
        <x:v>P0</x:v>
      </x:c>
      <x:c r="D204" s="13" t="str">
        <x:v>Not Run</x:v>
      </x:c>
      <x:c r="E204" s="11" t="str">
        <x:v>Summary List of Sales at scale</x:v>
      </x:c>
      <x:c r="F204" s="11" t="str">
        <x:v>Run daily/monthly/merchant breakdowns over large and skewed datasets with cold and warm caches.</x:v>
      </x:c>
      <x:c r="G204" s="11" t="str">
        <x:v>Correct totals and bounded queries; loading resolves within agreed target without timeouts.</x:v>
      </x:c>
      <x:c r="H204" s="11" t="str">
        <x:v>D13, D18, D19</x:v>
      </x:c>
      <x:c r="I204" s="11" t="str">
        <x:v>Performance QA / operations</x:v>
      </x:c>
      <x:c r="J204" s="11" t="str">
        <x:v>Isolated lab</x:v>
      </x:c>
      <x:c r="K204" s="14" t="str"/>
      <x:c r="L204" s="14" t="str"/>
      <x:c r="M204" s="14" t="str"/>
      <x:c r="N204" s="14" t="str"/>
      <x:c r="O204" s="15" t="str"/>
      <x:c r="P204" s="14" t="str"/>
      <x:c r="Q204" s="14" t="str"/>
    </x:row>
    <x:row r="205" ht="70" customHeight="1">
      <x:c r="A205" s="12" t="str">
        <x:v>PERF-003</x:v>
      </x:c>
      <x:c r="B205" s="12" t="str">
        <x:v>Scale, resilience and realtime load</x:v>
      </x:c>
      <x:c r="C205" s="12" t="str">
        <x:v>P1</x:v>
      </x:c>
      <x:c r="D205" s="13" t="str">
        <x:v>Not Run</x:v>
      </x:c>
      <x:c r="E205" s="12" t="str">
        <x:v>Every authenticated page performance</x:v>
      </x:c>
      <x:c r="F205" s="12" t="str">
        <x:v>Apply the performance protocol to each Page Inventory route and its largest table/widget.</x:v>
      </x:c>
      <x:c r="G205" s="12" t="str">
        <x:v>First useful content and API timings recorded per page; slow pages are filed as defects, not hidden in averages.</x:v>
      </x:c>
      <x:c r="H205" s="12" t="str">
        <x:v>D13, D18, D19</x:v>
      </x:c>
      <x:c r="I205" s="12" t="str">
        <x:v>Performance QA / operations</x:v>
      </x:c>
      <x:c r="J205" s="12" t="str">
        <x:v>Isolated lab</x:v>
      </x:c>
      <x:c r="K205" s="14" t="str"/>
      <x:c r="L205" s="14" t="str"/>
      <x:c r="M205" s="14" t="str"/>
      <x:c r="N205" s="14" t="str"/>
      <x:c r="O205" s="15" t="str"/>
      <x:c r="P205" s="14" t="str"/>
      <x:c r="Q205" s="14" t="str"/>
    </x:row>
    <x:row r="206" ht="70" customHeight="1">
      <x:c r="A206" s="11" t="str">
        <x:v>PERF-004</x:v>
      </x:c>
      <x:c r="B206" s="11" t="str">
        <x:v>Scale, resilience and realtime load</x:v>
      </x:c>
      <x:c r="C206" s="11" t="str">
        <x:v>P0</x:v>
      </x:c>
      <x:c r="D206" s="13" t="str">
        <x:v>Not Run</x:v>
      </x:c>
      <x:c r="E206" s="11" t="str">
        <x:v>Concurrent intake and reads</x:v>
      </x:c>
      <x:c r="F206" s="11" t="str">
        <x:v>Ramp approved concurrent users while accepting idempotent transactions and reading dashboards/exports.</x:v>
      </x:c>
      <x:c r="G206" s="11" t="str">
        <x:v>No overspend/duplicate records/deadlocks escaping recovery; latency/error targets remain within agreed limits.</x:v>
      </x:c>
      <x:c r="H206" s="11" t="str">
        <x:v>D13, D18, D19</x:v>
      </x:c>
      <x:c r="I206" s="11" t="str">
        <x:v>Performance QA / operations</x:v>
      </x:c>
      <x:c r="J206" s="11" t="str">
        <x:v>Isolated lab</x:v>
      </x:c>
      <x:c r="K206" s="14" t="str"/>
      <x:c r="L206" s="14" t="str"/>
      <x:c r="M206" s="14" t="str"/>
      <x:c r="N206" s="14" t="str"/>
      <x:c r="O206" s="15" t="str"/>
      <x:c r="P206" s="14" t="str"/>
      <x:c r="Q206" s="14" t="str"/>
    </x:row>
    <x:row r="207" ht="70" customHeight="1">
      <x:c r="A207" s="12" t="str">
        <x:v>PERF-005</x:v>
      </x:c>
      <x:c r="B207" s="12" t="str">
        <x:v>Scale, resilience and realtime load</x:v>
      </x:c>
      <x:c r="C207" s="12" t="str">
        <x:v>P0</x:v>
      </x:c>
      <x:c r="D207" s="13" t="str">
        <x:v>Not Run</x:v>
      </x:c>
      <x:c r="E207" s="12" t="str">
        <x:v>One-second refresh load</x:v>
      </x:c>
      <x:c r="F207" s="12" t="str">
        <x:v>Open multiple merchant/admin tabs under load; measure revision checks, full queries and DB/worker usage.</x:v>
      </x:c>
      <x:c r="G207" s="12" t="str">
        <x:v>No overlapping scans or default 429 storm. Freshness target met while server resource limits remain stable.</x:v>
      </x:c>
      <x:c r="H207" s="12" t="str">
        <x:v>D13, D18, D19</x:v>
      </x:c>
      <x:c r="I207" s="12" t="str">
        <x:v>Performance QA / operations</x:v>
      </x:c>
      <x:c r="J207" s="12" t="str">
        <x:v>Isolated lab</x:v>
      </x:c>
      <x:c r="K207" s="14" t="str"/>
      <x:c r="L207" s="14" t="str"/>
      <x:c r="M207" s="14" t="str"/>
      <x:c r="N207" s="14" t="str"/>
      <x:c r="O207" s="15" t="str"/>
      <x:c r="P207" s="14" t="str"/>
      <x:c r="Q207" s="14" t="str"/>
    </x:row>
    <x:row r="208" ht="70" customHeight="1">
      <x:c r="A208" s="11" t="str">
        <x:v>PERF-006</x:v>
      </x:c>
      <x:c r="B208" s="11" t="str">
        <x:v>Scale, resilience and realtime load</x:v>
      </x:c>
      <x:c r="C208" s="11" t="str">
        <x:v>P1</x:v>
      </x:c>
      <x:c r="D208" s="13" t="str">
        <x:v>Not Run</x:v>
      </x:c>
      <x:c r="E208" s="11" t="str">
        <x:v>Large exports under active traffic</x:v>
      </x:c>
      <x:c r="F208" s="11" t="str">
        <x:v>Export 100k and 1 million matching rows where supported, while ordinary pages remain in use.</x:v>
      </x:c>
      <x:c r="G208" s="11" t="str">
        <x:v>Background/streamed processing stays bounded; explicit limits are disclosed; ordinary pages remain responsive.</x:v>
      </x:c>
      <x:c r="H208" s="11" t="str">
        <x:v>D13, D18, D19</x:v>
      </x:c>
      <x:c r="I208" s="11" t="str">
        <x:v>Performance QA / operations</x:v>
      </x:c>
      <x:c r="J208" s="11" t="str">
        <x:v>Isolated lab</x:v>
      </x:c>
      <x:c r="K208" s="14" t="str"/>
      <x:c r="L208" s="14" t="str"/>
      <x:c r="M208" s="14" t="str"/>
      <x:c r="N208" s="14" t="str"/>
      <x:c r="O208" s="15" t="str"/>
      <x:c r="P208" s="14" t="str"/>
      <x:c r="Q208" s="14" t="str"/>
    </x:row>
    <x:row r="209" ht="70" customHeight="1">
      <x:c r="A209" s="12" t="str">
        <x:v>PERF-007</x:v>
      </x:c>
      <x:c r="B209" s="12" t="str">
        <x:v>Scale, resilience and realtime load</x:v>
      </x:c>
      <x:c r="C209" s="12" t="str">
        <x:v>P0</x:v>
      </x:c>
      <x:c r="D209" s="13" t="str">
        <x:v>Not Run</x:v>
      </x:c>
      <x:c r="E209" s="12" t="str">
        <x:v>Cold start and index/query plan review</x:v>
      </x:c>
      <x:c r="F209" s="12" t="str">
        <x:v>Restart only lab components; test common and worst-case search patterns; capture plans and query counts.</x:v>
      </x:c>
      <x:c r="G209" s="12" t="str">
        <x:v>No unbounded hydration/N+1 loops; supported query plans meet agreed performance targets.</x:v>
      </x:c>
      <x:c r="H209" s="12" t="str">
        <x:v>D13, D18, D19</x:v>
      </x:c>
      <x:c r="I209" s="12" t="str">
        <x:v>Performance QA / operations</x:v>
      </x:c>
      <x:c r="J209" s="12" t="str">
        <x:v>Isolated lab</x:v>
      </x:c>
      <x:c r="K209" s="14" t="str"/>
      <x:c r="L209" s="14" t="str"/>
      <x:c r="M209" s="14" t="str"/>
      <x:c r="N209" s="14" t="str"/>
      <x:c r="O209" s="15" t="str"/>
      <x:c r="P209" s="14" t="str"/>
      <x:c r="Q209" s="14" t="str"/>
    </x:row>
    <x:row r="210" ht="70" customHeight="1">
      <x:c r="A210" s="11" t="str">
        <x:v>PERF-008</x:v>
      </x:c>
      <x:c r="B210" s="11" t="str">
        <x:v>Scale, resilience and realtime load</x:v>
      </x:c>
      <x:c r="C210" s="11" t="str">
        <x:v>P1</x:v>
      </x:c>
      <x:c r="D210" s="13" t="str">
        <x:v>Not Run</x:v>
      </x:c>
      <x:c r="E210" s="11" t="str">
        <x:v>Slow network, offline and reconnect</x:v>
      </x:c>
      <x:c r="F210" s="11" t="str">
        <x:v>Throttle test network; disconnect during read and queued write; restore connectivity.</x:v>
      </x:c>
      <x:c r="G210" s="11" t="str">
        <x:v>Bounded errors and recovery; local outbox retains identity without duplicate sales or cross-account replay.</x:v>
      </x:c>
      <x:c r="H210" s="11" t="str">
        <x:v>D13, D18, D19</x:v>
      </x:c>
      <x:c r="I210" s="11" t="str">
        <x:v>Performance QA / operations</x:v>
      </x:c>
      <x:c r="J210" s="11" t="str">
        <x:v>Isolated lab</x:v>
      </x:c>
      <x:c r="K210" s="14" t="str"/>
      <x:c r="L210" s="14" t="str"/>
      <x:c r="M210" s="14" t="str"/>
      <x:c r="N210" s="14" t="str"/>
      <x:c r="O210" s="15" t="str"/>
      <x:c r="P210" s="14" t="str"/>
      <x:c r="Q210" s="14" t="str"/>
    </x:row>
    <x:row r="211" ht="70" customHeight="1">
      <x:c r="A211" s="12" t="str">
        <x:v>PERF-009</x:v>
      </x:c>
      <x:c r="B211" s="12" t="str">
        <x:v>Scale, resilience and realtime load</x:v>
      </x:c>
      <x:c r="C211" s="12" t="str">
        <x:v>P0</x:v>
      </x:c>
      <x:c r="D211" s="13" t="str">
        <x:v>Not Run</x:v>
      </x:c>
      <x:c r="E211" s="12" t="str">
        <x:v>Worker/database interruption</x:v>
      </x:c>
      <x:c r="F211" s="12" t="str">
        <x:v>Kill lab worker during job and simulate dependency loss before/after commit. Recover and reconcile.</x:v>
      </x:c>
      <x:c r="G211" s="12" t="str">
        <x:v>Durable work resumes safely with no lost committed record, duplicate fee or blind BIR resubmission.</x:v>
      </x:c>
      <x:c r="H211" s="12" t="str">
        <x:v>D13, D18, D19</x:v>
      </x:c>
      <x:c r="I211" s="12" t="str">
        <x:v>Performance QA / operations</x:v>
      </x:c>
      <x:c r="J211" s="12" t="str">
        <x:v>Isolated lab</x:v>
      </x:c>
      <x:c r="K211" s="14" t="str"/>
      <x:c r="L211" s="14" t="str"/>
      <x:c r="M211" s="14" t="str"/>
      <x:c r="N211" s="14" t="str"/>
      <x:c r="O211" s="15" t="str"/>
      <x:c r="P211" s="14" t="str"/>
      <x:c r="Q211" s="14" t="str"/>
    </x:row>
    <x:row r="212" ht="70" customHeight="1">
      <x:c r="A212" s="11" t="str">
        <x:v>PERF-010</x:v>
      </x:c>
      <x:c r="B212" s="11" t="str">
        <x:v>Scale, resilience and realtime load</x:v>
      </x:c>
      <x:c r="C212" s="11" t="str">
        <x:v>P1</x:v>
      </x:c>
      <x:c r="D212" s="13" t="str">
        <x:v>Not Run</x:v>
      </x:c>
      <x:c r="E212" s="11" t="str">
        <x:v>Sustained workload and resource trend</x:v>
      </x:c>
      <x:c r="F212" s="11" t="str">
        <x:v>Run agreed mixed workload for 2 hours or the approved duration. Track CPU, memory, connections, queues and browser heap.</x:v>
      </x:c>
      <x:c r="G212" s="11" t="str">
        <x:v>No unbounded growth or degrading latency; final counts/balances reconcile.</x:v>
      </x:c>
      <x:c r="H212" s="11" t="str">
        <x:v>D13, D18, D19</x:v>
      </x:c>
      <x:c r="I212" s="11" t="str">
        <x:v>Performance QA / operations</x:v>
      </x:c>
      <x:c r="J212" s="11" t="str">
        <x:v>Isolated lab</x:v>
      </x:c>
      <x:c r="K212" s="14" t="str"/>
      <x:c r="L212" s="14" t="str"/>
      <x:c r="M212" s="14" t="str"/>
      <x:c r="N212" s="14" t="str"/>
      <x:c r="O212" s="15" t="str"/>
      <x:c r="P212" s="14" t="str"/>
      <x:c r="Q212" s="14" t="str"/>
    </x:row>
    <x:row r="213" ht="70" customHeight="1">
      <x:c r="A213" s="12" t="str">
        <x:v>PERF-011</x:v>
      </x:c>
      <x:c r="B213" s="12" t="str">
        <x:v>Scale, resilience and realtime load</x:v>
      </x:c>
      <x:c r="C213" s="12" t="str">
        <x:v>P0</x:v>
      </x:c>
      <x:c r="D213" s="13" t="str">
        <x:v>Not Run</x:v>
      </x:c>
      <x:c r="E213" s="12" t="str">
        <x:v>Hot-merchant fairness</x:v>
      </x:c>
      <x:c r="F213" s="12" t="str">
        <x:v>Give one merchant 95% of data/traffic; concurrently use a small merchant.</x:v>
      </x:c>
      <x:c r="G213" s="12" t="str">
        <x:v>One tenant cannot exhaust shared capacity or cause another tenant to receive wrong/stale data.</x:v>
      </x:c>
      <x:c r="H213" s="12" t="str">
        <x:v>D13, D18, D19</x:v>
      </x:c>
      <x:c r="I213" s="12" t="str">
        <x:v>Performance QA / operations</x:v>
      </x:c>
      <x:c r="J213" s="12" t="str">
        <x:v>Isolated lab</x:v>
      </x:c>
      <x:c r="K213" s="14" t="str"/>
      <x:c r="L213" s="14" t="str"/>
      <x:c r="M213" s="14" t="str"/>
      <x:c r="N213" s="14" t="str"/>
      <x:c r="O213" s="15" t="str"/>
      <x:c r="P213" s="14" t="str"/>
      <x:c r="Q213" s="14" t="str"/>
    </x:row>
    <x:row r="214" ht="70" customHeight="1">
      <x:c r="A214" s="11" t="str">
        <x:v>PERF-012</x:v>
      </x:c>
      <x:c r="B214" s="11" t="str">
        <x:v>Scale, resilience and realtime load</x:v>
      </x:c>
      <x:c r="C214" s="11" t="str">
        <x:v>P1</x:v>
      </x:c>
      <x:c r="D214" s="13" t="str">
        <x:v>Not Run</x:v>
      </x:c>
      <x:c r="E214" s="11" t="str">
        <x:v>Backoff and recovery from 429/5xx</x:v>
      </x:c>
      <x:c r="F214" s="11" t="str">
        <x:v>Apply controlled throttling and transient errors; observe clients and return service to normal.</x:v>
      </x:c>
      <x:c r="G214" s="11" t="str">
        <x:v>Clients honor retry policy without tight loops; recover automatically and preserve clear state.</x:v>
      </x:c>
      <x:c r="H214" s="11" t="str">
        <x:v>D13, D18, D19</x:v>
      </x:c>
      <x:c r="I214" s="11" t="str">
        <x:v>Performance QA / operations</x:v>
      </x:c>
      <x:c r="J214" s="11" t="str">
        <x:v>Isolated lab</x:v>
      </x:c>
      <x:c r="K214" s="14" t="str"/>
      <x:c r="L214" s="14" t="str"/>
      <x:c r="M214" s="14" t="str"/>
      <x:c r="N214" s="14" t="str"/>
      <x:c r="O214" s="15" t="str"/>
      <x:c r="P214" s="14" t="str"/>
      <x:c r="Q214" s="14" t="str"/>
    </x:row>
    <x:row r="215" ht="70" customHeight="1">
      <x:c r="A215" s="12" t="str">
        <x:v>PAGE-001</x:v>
      </x:c>
      <x:c r="B215" s="12" t="str">
        <x:v>Common checks for every page</x:v>
      </x:c>
      <x:c r="C215" s="12" t="str">
        <x:v>P1</x:v>
      </x:c>
      <x:c r="D215" s="13" t="str">
        <x:v>Not Run</x:v>
      </x:c>
      <x:c r="E215" s="12" t="str">
        <x:v>Navigation and direct URL</x:v>
      </x:c>
      <x:c r="F215" s="12" t="str">
        <x:v>For every Page Inventory entry, open via menu and direct URL, then reload and use Back/Forward.</x:v>
      </x:c>
      <x:c r="G215" s="12" t="str">
        <x:v>Correct page/redirect and title. No blank screen, infinite loader or broken navigation.</x:v>
      </x:c>
      <x:c r="H215" s="12" t="str">
        <x:v>D01, D13, Page Inventory</x:v>
      </x:c>
      <x:c r="I215" s="12" t="str">
        <x:v>QA for each authorized role</x:v>
      </x:c>
      <x:c r="J215" s="12" t="str">
        <x:v>Staging</x:v>
      </x:c>
      <x:c r="K215" s="14" t="str"/>
      <x:c r="L215" s="14" t="str"/>
      <x:c r="M215" s="14" t="str"/>
      <x:c r="N215" s="14" t="str"/>
      <x:c r="O215" s="15" t="str"/>
      <x:c r="P215" s="14" t="str"/>
      <x:c r="Q215" s="14" t="str"/>
    </x:row>
    <x:row r="216" ht="70" customHeight="1">
      <x:c r="A216" s="11" t="str">
        <x:v>PAGE-002</x:v>
      </x:c>
      <x:c r="B216" s="11" t="str">
        <x:v>Common checks for every page</x:v>
      </x:c>
      <x:c r="C216" s="11" t="str">
        <x:v>P0</x:v>
      </x:c>
      <x:c r="D216" s="13" t="str">
        <x:v>Not Run</x:v>
      </x:c>
      <x:c r="E216" s="11" t="str">
        <x:v>Page and underlying API access</x:v>
      </x:c>
      <x:c r="F216" s="11" t="str">
        <x:v>For each route, test allowed and disallowed roles plus ownership/branch restrictions on actual data requests.</x:v>
      </x:c>
      <x:c r="G216" s="11" t="str">
        <x:v>Server-side access matches approved RBAC, regardless of route wrapper or hidden menus.</x:v>
      </x:c>
      <x:c r="H216" s="11" t="str">
        <x:v>D01, D13, Page Inventory</x:v>
      </x:c>
      <x:c r="I216" s="11" t="str">
        <x:v>QA for each authorized role</x:v>
      </x:c>
      <x:c r="J216" s="11" t="str">
        <x:v>Staging</x:v>
      </x:c>
      <x:c r="K216" s="14" t="str"/>
      <x:c r="L216" s="14" t="str"/>
      <x:c r="M216" s="14" t="str"/>
      <x:c r="N216" s="14" t="str"/>
      <x:c r="O216" s="15" t="str"/>
      <x:c r="P216" s="14" t="str"/>
      <x:c r="Q216" s="14" t="str"/>
    </x:row>
    <x:row r="217" ht="70" customHeight="1">
      <x:c r="A217" s="12" t="str">
        <x:v>PAGE-003</x:v>
      </x:c>
      <x:c r="B217" s="12" t="str">
        <x:v>Common checks for every page</x:v>
      </x:c>
      <x:c r="C217" s="12" t="str">
        <x:v>P1</x:v>
      </x:c>
      <x:c r="D217" s="13" t="str">
        <x:v>Not Run</x:v>
      </x:c>
      <x:c r="E217" s="12" t="str">
        <x:v>Controls and form lifecycle</x:v>
      </x:c>
      <x:c r="F217" s="12" t="str">
        <x:v>Exercise every tab, primary button, modal, cancel/back, submit, validation and error path.</x:v>
      </x:c>
      <x:c r="G217" s="12" t="str">
        <x:v>No dead controls, accidental double submission, inaccessible dialog or lost unsaved work without notice.</x:v>
      </x:c>
      <x:c r="H217" s="12" t="str">
        <x:v>D01, D13, Page Inventory</x:v>
      </x:c>
      <x:c r="I217" s="12" t="str">
        <x:v>QA for each authorized role</x:v>
      </x:c>
      <x:c r="J217" s="12" t="str">
        <x:v>Staging</x:v>
      </x:c>
      <x:c r="K217" s="14" t="str"/>
      <x:c r="L217" s="14" t="str"/>
      <x:c r="M217" s="14" t="str"/>
      <x:c r="N217" s="14" t="str"/>
      <x:c r="O217" s="15" t="str"/>
      <x:c r="P217" s="14" t="str"/>
      <x:c r="Q217" s="14" t="str"/>
    </x:row>
    <x:row r="218" ht="70" customHeight="1">
      <x:c r="A218" s="11" t="str">
        <x:v>PAGE-004</x:v>
      </x:c>
      <x:c r="B218" s="11" t="str">
        <x:v>Common checks for every page</x:v>
      </x:c>
      <x:c r="C218" s="11" t="str">
        <x:v>P1</x:v>
      </x:c>
      <x:c r="D218" s="13" t="str">
        <x:v>Not Run</x:v>
      </x:c>
      <x:c r="E218" s="11" t="str">
        <x:v>Mobile, zoom and accessibility</x:v>
      </x:c>
      <x:c r="F218" s="11" t="str">
        <x:v>Check 390px, tablet, desktop, 200% zoom, keyboard focus, labels, contrast and screen-reader names.</x:v>
      </x:c>
      <x:c r="G218" s="11" t="str">
        <x:v>Readable standard fonts, usable actions and meaningful focus. No hidden required controls or unusable clipping.</x:v>
      </x:c>
      <x:c r="H218" s="11" t="str">
        <x:v>D01, D13, Page Inventory</x:v>
      </x:c>
      <x:c r="I218" s="11" t="str">
        <x:v>QA for each authorized role</x:v>
      </x:c>
      <x:c r="J218" s="11" t="str">
        <x:v>Staging</x:v>
      </x:c>
      <x:c r="K218" s="14" t="str"/>
      <x:c r="L218" s="14" t="str"/>
      <x:c r="M218" s="14" t="str"/>
      <x:c r="N218" s="14" t="str"/>
      <x:c r="O218" s="15" t="str"/>
      <x:c r="P218" s="14" t="str"/>
      <x:c r="Q218" s="14" t="str"/>
    </x:row>
    <x:row r="219" ht="70" customHeight="1">
      <x:c r="A219" s="12" t="str">
        <x:v>PAGE-005</x:v>
      </x:c>
      <x:c r="B219" s="12" t="str">
        <x:v>Common checks for every page</x:v>
      </x:c>
      <x:c r="C219" s="12" t="str">
        <x:v>P1</x:v>
      </x:c>
      <x:c r="D219" s="13" t="str">
        <x:v>Not Run</x:v>
      </x:c>
      <x:c r="E219" s="12" t="str">
        <x:v>Loading, empty, offline and error</x:v>
      </x:c>
      <x:c r="F219" s="12" t="str">
        <x:v>Check first load, zero data, high volume, slow/offline network, session expiry and recovery.</x:v>
      </x:c>
      <x:c r="G219" s="12" t="str">
        <x:v>Each state is distinct and actionable; no fake zero totals or stale success.</x:v>
      </x:c>
      <x:c r="H219" s="12" t="str">
        <x:v>D01, D13, Page Inventory</x:v>
      </x:c>
      <x:c r="I219" s="12" t="str">
        <x:v>QA for each authorized role</x:v>
      </x:c>
      <x:c r="J219" s="12" t="str">
        <x:v>Staging</x:v>
      </x:c>
      <x:c r="K219" s="14" t="str"/>
      <x:c r="L219" s="14" t="str"/>
      <x:c r="M219" s="14" t="str"/>
      <x:c r="N219" s="14" t="str"/>
      <x:c r="O219" s="15" t="str"/>
      <x:c r="P219" s="14" t="str"/>
      <x:c r="Q219" s="14" t="str"/>
    </x:row>
    <x:row r="220" ht="70" customHeight="1">
      <x:c r="A220" s="11" t="str">
        <x:v>PAGE-006</x:v>
      </x:c>
      <x:c r="B220" s="11" t="str">
        <x:v>Common checks for every page</x:v>
      </x:c>
      <x:c r="C220" s="11" t="str">
        <x:v>P1</x:v>
      </x:c>
      <x:c r="D220" s="13" t="str">
        <x:v>Not Run</x:v>
      </x:c>
      <x:c r="E220" s="11" t="str">
        <x:v>Official branding and version</x:v>
      </x:c>
      <x:c r="F220" s="11" t="str">
        <x:v>Inspect login, public pages, portals, loading screen, browser icon and documentation links.</x:v>
      </x:c>
      <x:c r="G220" s="11" t="str">
        <x:v>Official global logo/favicon/loading animation and declared version appear consistently with legible fonts.</x:v>
      </x:c>
      <x:c r="H220" s="11" t="str">
        <x:v>D01, D13, Page Inventory</x:v>
      </x:c>
      <x:c r="I220" s="11" t="str">
        <x:v>QA for each authorized role</x:v>
      </x:c>
      <x:c r="J220" s="11" t="str">
        <x:v>Staging</x:v>
      </x:c>
      <x:c r="K220" s="14" t="str"/>
      <x:c r="L220" s="14" t="str"/>
      <x:c r="M220" s="14" t="str"/>
      <x:c r="N220" s="14" t="str"/>
      <x:c r="O220" s="15" t="str"/>
      <x:c r="P220" s="14" t="str"/>
      <x:c r="Q220" s="14" t="str"/>
    </x:row>
    <x:row r="221" ht="70" customHeight="1">
      <x:c r="A221" s="12" t="str">
        <x:v>PAGE-007</x:v>
      </x:c>
      <x:c r="B221" s="12" t="str">
        <x:v>Common checks for every page</x:v>
      </x:c>
      <x:c r="C221" s="12" t="str">
        <x:v>P1</x:v>
      </x:c>
      <x:c r="D221" s="13" t="str">
        <x:v>Not Run</x:v>
      </x:c>
      <x:c r="E221" s="12" t="str">
        <x:v>Exports and print actions</x:v>
      </x:c>
      <x:c r="F221" s="12" t="str">
        <x:v>List every export/print control found on the route and execute the applicable REP test cases.</x:v>
      </x:c>
      <x:c r="G221" s="12" t="str">
        <x:v>Every advertised action works with correct filters, ownership and output details.</x:v>
      </x:c>
      <x:c r="H221" s="12" t="str">
        <x:v>D01, D13, Page Inventory</x:v>
      </x:c>
      <x:c r="I221" s="12" t="str">
        <x:v>QA for each authorized role</x:v>
      </x:c>
      <x:c r="J221" s="12" t="str">
        <x:v>Staging</x:v>
      </x:c>
      <x:c r="K221" s="14" t="str"/>
      <x:c r="L221" s="14" t="str"/>
      <x:c r="M221" s="14" t="str"/>
      <x:c r="N221" s="14" t="str"/>
      <x:c r="O221" s="15" t="str"/>
      <x:c r="P221" s="14" t="str"/>
      <x:c r="Q221" s="14" t="str"/>
    </x:row>
    <x:row r="222" ht="70" customHeight="1">
      <x:c r="A222" s="11" t="str">
        <x:v>PAGE-008</x:v>
      </x:c>
      <x:c r="B222" s="11" t="str">
        <x:v>Common checks for every page</x:v>
      </x:c>
      <x:c r="C222" s="11" t="str">
        <x:v>P1</x:v>
      </x:c>
      <x:c r="D222" s="13" t="str">
        <x:v>Not Run</x:v>
      </x:c>
      <x:c r="E222" s="11" t="str">
        <x:v>Runtime quality and timing</x:v>
      </x:c>
      <x:c r="F222" s="11" t="str">
        <x:v>Record console errors, failed requests, useful-content time and slow API responses for each route.</x:v>
      </x:c>
      <x:c r="G222" s="11" t="str">
        <x:v>No unhandled errors or repetitive failures. Results meet approved targets and evidence is attached.</x:v>
      </x:c>
      <x:c r="H222" s="11" t="str">
        <x:v>D01, D13, Page Inventory</x:v>
      </x:c>
      <x:c r="I222" s="11" t="str">
        <x:v>QA for each authorized role</x:v>
      </x:c>
      <x:c r="J222" s="11" t="str">
        <x:v>Staging</x:v>
      </x:c>
      <x:c r="K222" s="14" t="str"/>
      <x:c r="L222" s="14" t="str"/>
      <x:c r="M222" s="14" t="str"/>
      <x:c r="N222" s="14" t="str"/>
      <x:c r="O222" s="15" t="str"/>
      <x:c r="P222" s="14" t="str"/>
      <x:c r="Q222" s="14" t="str"/>
    </x:row>
    <x:row r="223" ht="70" customHeight="1">
      <x:c r="A223" s="12" t="str">
        <x:v>AUX-001</x:v>
      </x:c>
      <x:c r="B223" s="12" t="str">
        <x:v>Customers, support and additional portals</x:v>
      </x:c>
      <x:c r="C223" s="12" t="str">
        <x:v>P1</x:v>
      </x:c>
      <x:c r="D223" s="13" t="str">
        <x:v>Not Run</x:v>
      </x:c>
      <x:c r="E223" s="12" t="str">
        <x:v>Customer directory lifecycle</x:v>
      </x:c>
      <x:c r="F223" s="12" t="str">
        <x:v>Create/update a test customer; validate duplicate fields, search, filters, details and export.</x:v>
      </x:c>
      <x:c r="G223" s="12" t="str">
        <x:v>Correct owned customer records with validation and stable paging; issued invoice history is preserved.</x:v>
      </x:c>
      <x:c r="H223" s="12" t="str">
        <x:v>D01, D04, D20</x:v>
      </x:c>
      <x:c r="I223" s="12" t="str">
        <x:v>Merchant / Admin / scoped users</x:v>
      </x:c>
      <x:c r="J223" s="12" t="str">
        <x:v>Staging</x:v>
      </x:c>
      <x:c r="K223" s="14" t="str"/>
      <x:c r="L223" s="14" t="str"/>
      <x:c r="M223" s="14" t="str"/>
      <x:c r="N223" s="14" t="str"/>
      <x:c r="O223" s="15" t="str"/>
      <x:c r="P223" s="14" t="str"/>
      <x:c r="Q223" s="14" t="str"/>
    </x:row>
    <x:row r="224" ht="70" customHeight="1">
      <x:c r="A224" s="11" t="str">
        <x:v>AUX-002</x:v>
      </x:c>
      <x:c r="B224" s="11" t="str">
        <x:v>Customers, support and additional portals</x:v>
      </x:c>
      <x:c r="C224" s="11" t="str">
        <x:v>P0</x:v>
      </x:c>
      <x:c r="D224" s="13" t="str">
        <x:v>Not Run</x:v>
      </x:c>
      <x:c r="E224" s="11" t="str">
        <x:v>Customer receipt access</x:v>
      </x:c>
      <x:c r="F224" s="11" t="str">
        <x:v>Use supported client/consumer/verification flows with owned and unrelated receipt identities.</x:v>
      </x:c>
      <x:c r="G224" s="11" t="str">
        <x:v>Only permitted customer data is disclosed; guessing a number does not expose full private records.</x:v>
      </x:c>
      <x:c r="H224" s="11" t="str">
        <x:v>D01, D04, D20</x:v>
      </x:c>
      <x:c r="I224" s="11" t="str">
        <x:v>Merchant / Admin / scoped users</x:v>
      </x:c>
      <x:c r="J224" s="11" t="str">
        <x:v>Staging</x:v>
      </x:c>
      <x:c r="K224" s="14" t="str"/>
      <x:c r="L224" s="14" t="str"/>
      <x:c r="M224" s="14" t="str"/>
      <x:c r="N224" s="14" t="str"/>
      <x:c r="O224" s="15" t="str"/>
      <x:c r="P224" s="14" t="str"/>
      <x:c r="Q224" s="14" t="str"/>
    </x:row>
    <x:row r="225" ht="70" customHeight="1">
      <x:c r="A225" s="12" t="str">
        <x:v>AUX-003</x:v>
      </x:c>
      <x:c r="B225" s="12" t="str">
        <x:v>Customers, support and additional portals</x:v>
      </x:c>
      <x:c r="C225" s="12" t="str">
        <x:v>P1</x:v>
      </x:c>
      <x:c r="D225" s="13" t="str">
        <x:v>Not Run</x:v>
      </x:c>
      <x:c r="E225" s="12" t="str">
        <x:v>Support conversations</x:v>
      </x:c>
      <x:c r="F225" s="12" t="str">
        <x:v>Create a test support request, reply as permitted support account and mark read/update status.</x:v>
      </x:c>
      <x:c r="G225" s="12" t="str">
        <x:v>Messages stay in the correct conversation/account with accurate unread state and attachments policy.</x:v>
      </x:c>
      <x:c r="H225" s="12" t="str">
        <x:v>D01, D04, D20</x:v>
      </x:c>
      <x:c r="I225" s="12" t="str">
        <x:v>Merchant / Admin / scoped users</x:v>
      </x:c>
      <x:c r="J225" s="12" t="str">
        <x:v>Staging</x:v>
      </x:c>
      <x:c r="K225" s="14" t="str"/>
      <x:c r="L225" s="14" t="str"/>
      <x:c r="M225" s="14" t="str"/>
      <x:c r="N225" s="14" t="str"/>
      <x:c r="O225" s="15" t="str"/>
      <x:c r="P225" s="14" t="str"/>
      <x:c r="Q225" s="14" t="str"/>
    </x:row>
    <x:row r="226" ht="70" customHeight="1">
      <x:c r="A226" s="11" t="str">
        <x:v>AUX-004</x:v>
      </x:c>
      <x:c r="B226" s="11" t="str">
        <x:v>Customers, support and additional portals</x:v>
      </x:c>
      <x:c r="C226" s="11" t="str">
        <x:v>P0</x:v>
      </x:c>
      <x:c r="D226" s="13" t="str">
        <x:v>Not Run</x:v>
      </x:c>
      <x:c r="E226" s="11" t="str">
        <x:v>Support and notifications isolation</x:v>
      </x:c>
      <x:c r="F226" s="11" t="str">
        <x:v>Attempt another merchant conversation/message/notification ID and links after logout.</x:v>
      </x:c>
      <x:c r="G226" s="11" t="str">
        <x:v>Unauthorized access is denied without leaking private content.</x:v>
      </x:c>
      <x:c r="H226" s="11" t="str">
        <x:v>D01, D04, D20</x:v>
      </x:c>
      <x:c r="I226" s="11" t="str">
        <x:v>Merchant / Admin / scoped users</x:v>
      </x:c>
      <x:c r="J226" s="11" t="str">
        <x:v>Staging</x:v>
      </x:c>
      <x:c r="K226" s="14" t="str"/>
      <x:c r="L226" s="14" t="str"/>
      <x:c r="M226" s="14" t="str"/>
      <x:c r="N226" s="14" t="str"/>
      <x:c r="O226" s="15" t="str"/>
      <x:c r="P226" s="14" t="str"/>
      <x:c r="Q226" s="14" t="str"/>
    </x:row>
    <x:row r="227" ht="70" customHeight="1">
      <x:c r="A227" s="12" t="str">
        <x:v>AUX-005</x:v>
      </x:c>
      <x:c r="B227" s="12" t="str">
        <x:v>Customers, support and additional portals</x:v>
      </x:c>
      <x:c r="C227" s="12" t="str">
        <x:v>P1</x:v>
      </x:c>
      <x:c r="D227" s="13" t="str">
        <x:v>Not Run</x:v>
      </x:c>
      <x:c r="E227" s="12" t="str">
        <x:v>Additional role portals</x:v>
      </x:c>
      <x:c r="F227" s="12" t="str">
        <x:v>For enabled BIR/RDO/client/consumer/API portals, run common page checks and approved role-specific use cases.</x:v>
      </x:c>
      <x:c r="G227" s="12" t="str">
        <x:v>Only explicitly approved scope is visible. Unsupported functionality is clearly identified, not shown as completed.</x:v>
      </x:c>
      <x:c r="H227" s="12" t="str">
        <x:v>D01, D04, D20</x:v>
      </x:c>
      <x:c r="I227" s="12" t="str">
        <x:v>Merchant / Admin / scoped users</x:v>
      </x:c>
      <x:c r="J227" s="12" t="str">
        <x:v>Staging</x:v>
      </x:c>
      <x:c r="K227" s="14" t="str"/>
      <x:c r="L227" s="14" t="str"/>
      <x:c r="M227" s="14" t="str"/>
      <x:c r="N227" s="14" t="str"/>
      <x:c r="O227" s="15" t="str"/>
      <x:c r="P227" s="14" t="str"/>
      <x:c r="Q227" s="14" t="str"/>
    </x:row>
    <x:row r="228" ht="70" customHeight="1">
      <x:c r="A228" s="11" t="str">
        <x:v>AUX-006</x:v>
      </x:c>
      <x:c r="B228" s="11" t="str">
        <x:v>Customers, support and additional portals</x:v>
      </x:c>
      <x:c r="C228" s="11" t="str">
        <x:v>P1</x:v>
      </x:c>
      <x:c r="D228" s="13" t="str">
        <x:v>Not Run</x:v>
      </x:c>
      <x:c r="E228" s="11" t="str">
        <x:v>Public documentation downloads</x:v>
      </x:c>
      <x:c r="F228" s="11" t="str">
        <x:v>Open website/merchant documentation links and download each advertised guide/report/manual.</x:v>
      </x:c>
      <x:c r="G228" s="11" t="str">
        <x:v>Files open, have correct name/version/branding, and match the current published capabilities.</x:v>
      </x:c>
      <x:c r="H228" s="11" t="str">
        <x:v>D01, D04, D20</x:v>
      </x:c>
      <x:c r="I228" s="11" t="str">
        <x:v>Merchant / Admin / scoped users</x:v>
      </x:c>
      <x:c r="J228" s="11" t="str">
        <x:v>Staging</x:v>
      </x:c>
      <x:c r="K228" s="14" t="str"/>
      <x:c r="L228" s="14" t="str"/>
      <x:c r="M228" s="14" t="str"/>
      <x:c r="N228" s="14" t="str"/>
      <x:c r="O228" s="15" t="str"/>
      <x:c r="P228" s="14" t="str"/>
      <x:c r="Q228" s="14" t="str"/>
    </x:row>
    <x:row r="229" ht="70" customHeight="1">
      <x:c r="A229" s="12" t="str">
        <x:v>AUX-007</x:v>
      </x:c>
      <x:c r="B229" s="12" t="str">
        <x:v>Customers, support and additional portals</x:v>
      </x:c>
      <x:c r="C229" s="12" t="str">
        <x:v>P1</x:v>
      </x:c>
      <x:c r="D229" s="13" t="str">
        <x:v>Not Run</x:v>
      </x:c>
      <x:c r="E229" s="12" t="str">
        <x:v>Search and help links</x:v>
      </x:c>
      <x:c r="F229" s="12" t="str">
        <x:v>Use global search and Help from each portal; open a permitted result and an inaccessible target.</x:v>
      </x:c>
      <x:c r="G229" s="12" t="str">
        <x:v>Search is role/tenant scoped. Help routes and deep links work without exposing private content.</x:v>
      </x:c>
      <x:c r="H229" s="12" t="str">
        <x:v>D01, D04, D20</x:v>
      </x:c>
      <x:c r="I229" s="12" t="str">
        <x:v>Merchant / Admin / scoped users</x:v>
      </x:c>
      <x:c r="J229" s="12" t="str">
        <x:v>Staging</x:v>
      </x:c>
      <x:c r="K229" s="14" t="str"/>
      <x:c r="L229" s="14" t="str"/>
      <x:c r="M229" s="14" t="str"/>
      <x:c r="N229" s="14" t="str"/>
      <x:c r="O229" s="15" t="str"/>
      <x:c r="P229" s="14" t="str"/>
      <x:c r="Q229" s="14" t="str"/>
    </x:row>
    <x:row r="230" ht="70" customHeight="1">
      <x:c r="A230" s="11" t="str">
        <x:v>AUX-008</x:v>
      </x:c>
      <x:c r="B230" s="11" t="str">
        <x:v>Customers, support and additional portals</x:v>
      </x:c>
      <x:c r="C230" s="11" t="str">
        <x:v>P0</x:v>
      </x:c>
      <x:c r="D230" s="13" t="str">
        <x:v>Not Run</x:v>
      </x:c>
      <x:c r="E230" s="11" t="str">
        <x:v>Release smoke and regression</x:v>
      </x:c>
      <x:c r="F230" s="11" t="str">
        <x:v>On the exact release candidate run login, scoped sale, fee, receipt PDF, report export, retry and logout. Record build/hash.</x:v>
      </x:c>
      <x:c r="G230" s="11" t="str">
        <x:v>Critical smoke cases pass with evidence; no acceptance conclusion is based solely on earlier test runs.</x:v>
      </x:c>
      <x:c r="H230" s="11" t="str">
        <x:v>D01, D04, D20</x:v>
      </x:c>
      <x:c r="I230" s="11" t="str">
        <x:v>Merchant / Admin / scoped users</x:v>
      </x:c>
      <x:c r="J230" s="11" t="str">
        <x:v>Staging</x:v>
      </x:c>
      <x:c r="K230" s="14" t="str"/>
      <x:c r="L230" s="14" t="str"/>
      <x:c r="M230" s="14" t="str"/>
      <x:c r="N230" s="14" t="str"/>
      <x:c r="O230" s="15" t="str"/>
      <x:c r="P230" s="14" t="str"/>
      <x:c r="Q230" s="14" t="str"/>
    </x:row>
  </x:sheetData>
  <x:conditionalFormatting sqref="D6:D230">
    <x:cfRule type="expression" dxfId="0" priority="1">
      <x:formula>$D6="Fail"</x:formula>
    </x:cfRule>
    <x:cfRule type="expression" dxfId="1" priority="2">
      <x:formula>OR($D6="Blocked",$D6="Deferred")</x:formula>
    </x:cfRule>
    <x:cfRule type="expression" dxfId="2" priority="3">
      <x:formula>$D6="Pass"</x:formula>
    </x:cfRule>
  </x:conditionalFormatting>
  <x:dataValidations count="1">
    <x:dataValidation type="list" sqref="D6:D230">
      <x:formula1>"Not Run,In Progress,Pass,Fail,Blocked,Deferred,N/A"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d879caa45e43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44" hidden="0" customWidth="1"/>
    <x:col min="3" max="3" width="47" hidden="0" customWidth="1"/>
    <x:col min="4" max="4" width="14" hidden="0" customWidth="1"/>
    <x:col min="5" max="5" width="40" hidden="0" customWidth="1"/>
    <x:col min="6" max="6" width="65" hidden="0" customWidth="1"/>
    <x:col min="7" max="7" width="15" hidden="0" customWidth="1"/>
    <x:col min="8" max="8" width="36" hidden="0" customWidth="1"/>
    <x:col min="9" max="9" width="46" hidden="0" customWidth="1"/>
    <x:col min="10" max="10" width="22" hidden="0" customWidth="1"/>
    <x:col min="11" max="11" width="24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9" customHeight="1">
      <x:c r="A2" s="4" t="str">
        <x:v>NUERS PAGE INVENTORY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5" t="str">
        <x:v>Declared frontend routes as of 29 October 2026. Route access shown here is a starting point; verify server authorization separately.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8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4" customHeight="1">
      <x:c r="A5" s="9" t="str">
        <x:v>Route ID</x:v>
      </x:c>
      <x:c r="B5" s="9" t="str">
        <x:v>URL pattern</x:v>
      </x:c>
      <x:c r="C5" s="9" t="str">
        <x:v>Declared route access</x:v>
      </x:c>
      <x:c r="D5" s="9" t="str">
        <x:v>Route type</x:v>
      </x:c>
      <x:c r="E5" s="9" t="str">
        <x:v>Destination / common cases</x:v>
      </x:c>
      <x:c r="F5" s="9" t="str">
        <x:v>Required coverage</x:v>
      </x:c>
      <x:c r="G5" s="9" t="str">
        <x:v>Result</x:v>
      </x:c>
      <x:c r="H5" s="9" t="str">
        <x:v>Failed test IDs</x:v>
      </x:c>
      <x:c r="I5" s="9" t="str">
        <x:v>Evidence / notes</x:v>
      </x:c>
      <x:c r="J5" s="9" t="str">
        <x:v>Tester</x:v>
      </x:c>
      <x:c r="K5" s="9" t="str">
        <x:v>Release / build</x:v>
      </x:c>
    </x:row>
    <x:row r="6" ht="70" customHeight="1">
      <x:c r="A6" s="11" t="str">
        <x:v>URL-001</x:v>
      </x:c>
      <x:c r="B6" s="11" t="str">
        <x:v>/</x:v>
      </x:c>
      <x:c r="C6" s="11" t="str">
        <x:v>Public</x:v>
      </x:c>
      <x:c r="D6" s="11" t="str">
        <x:v>Page</x:v>
      </x:c>
      <x:c r="E6" s="11" t="str">
        <x:v>PAGE-001 to PAGE-008</x:v>
      </x:c>
      <x:c r="F6" s="11" t="str">
        <x:v>Navigation; API access; controls; responsive UI; loading; branding; export; timing.</x:v>
      </x:c>
      <x:c r="G6" s="14" t="str">
        <x:v>Not Run</x:v>
      </x:c>
      <x:c r="H6" s="14" t="str"/>
      <x:c r="I6" s="14" t="str"/>
      <x:c r="J6" s="14" t="str"/>
      <x:c r="K6" s="14" t="str"/>
    </x:row>
    <x:row r="7" ht="70" customHeight="1">
      <x:c r="A7" s="12" t="str">
        <x:v>URL-002</x:v>
      </x:c>
      <x:c r="B7" s="12" t="str">
        <x:v>/developers/integration</x:v>
      </x:c>
      <x:c r="C7" s="12" t="str">
        <x:v>Public</x:v>
      </x:c>
      <x:c r="D7" s="12" t="str">
        <x:v>Page</x:v>
      </x:c>
      <x:c r="E7" s="12" t="str">
        <x:v>PAGE-001 to PAGE-008</x:v>
      </x:c>
      <x:c r="F7" s="12" t="str">
        <x:v>Navigation; API access; controls; responsive UI; loading; branding; export; timing.</x:v>
      </x:c>
      <x:c r="G7" s="14" t="str">
        <x:v>Not Run</x:v>
      </x:c>
      <x:c r="H7" s="14" t="str"/>
      <x:c r="I7" s="14" t="str"/>
      <x:c r="J7" s="14" t="str"/>
      <x:c r="K7" s="14" t="str"/>
    </x:row>
    <x:row r="8" ht="70" customHeight="1">
      <x:c r="A8" s="11" t="str">
        <x:v>URL-003</x:v>
      </x:c>
      <x:c r="B8" s="11" t="str">
        <x:v>/api/docs</x:v>
      </x:c>
      <x:c r="C8" s="11" t="str">
        <x:v>Public</x:v>
      </x:c>
      <x:c r="D8" s="11" t="str">
        <x:v>Page</x:v>
      </x:c>
      <x:c r="E8" s="11" t="str">
        <x:v>PAGE-001 to PAGE-008</x:v>
      </x:c>
      <x:c r="F8" s="11" t="str">
        <x:v>Navigation; API access; controls; responsive UI; loading; branding; export; timing.</x:v>
      </x:c>
      <x:c r="G8" s="14" t="str">
        <x:v>Not Run</x:v>
      </x:c>
      <x:c r="H8" s="14" t="str"/>
      <x:c r="I8" s="14" t="str"/>
      <x:c r="J8" s="14" t="str"/>
      <x:c r="K8" s="14" t="str"/>
    </x:row>
    <x:row r="9" ht="70" customHeight="1">
      <x:c r="A9" s="12" t="str">
        <x:v>URL-004</x:v>
      </x:c>
      <x:c r="B9" s="12" t="str">
        <x:v>/api/sandbox</x:v>
      </x:c>
      <x:c r="C9" s="12" t="str">
        <x:v>Public</x:v>
      </x:c>
      <x:c r="D9" s="12" t="str">
        <x:v>Page</x:v>
      </x:c>
      <x:c r="E9" s="12" t="str">
        <x:v>PAGE-001 to PAGE-008</x:v>
      </x:c>
      <x:c r="F9" s="12" t="str">
        <x:v>Navigation; API access; controls; responsive UI; loading; branding; export; timing.</x:v>
      </x:c>
      <x:c r="G9" s="14" t="str">
        <x:v>Not Run</x:v>
      </x:c>
      <x:c r="H9" s="14" t="str"/>
      <x:c r="I9" s="14" t="str"/>
      <x:c r="J9" s="14" t="str"/>
      <x:c r="K9" s="14" t="str"/>
    </x:row>
    <x:row r="10" ht="70" customHeight="1">
      <x:c r="A10" s="11" t="str">
        <x:v>URL-005</x:v>
      </x:c>
      <x:c r="B10" s="11" t="str">
        <x:v>/verify</x:v>
      </x:c>
      <x:c r="C10" s="11" t="str">
        <x:v>Public</x:v>
      </x:c>
      <x:c r="D10" s="11" t="str">
        <x:v>Page</x:v>
      </x:c>
      <x:c r="E10" s="11" t="str">
        <x:v>PAGE-001 to PAGE-008</x:v>
      </x:c>
      <x:c r="F10" s="11" t="str">
        <x:v>Navigation; API access; controls; responsive UI; loading; branding; export; timing.</x:v>
      </x:c>
      <x:c r="G10" s="14" t="str">
        <x:v>Not Run</x:v>
      </x:c>
      <x:c r="H10" s="14" t="str"/>
      <x:c r="I10" s="14" t="str"/>
      <x:c r="J10" s="14" t="str"/>
      <x:c r="K10" s="14" t="str"/>
    </x:row>
    <x:row r="11" ht="70" customHeight="1">
      <x:c r="A11" s="12" t="str">
        <x:v>URL-006</x:v>
      </x:c>
      <x:c r="B11" s="12" t="str">
        <x:v>/activate-business</x:v>
      </x:c>
      <x:c r="C11" s="12" t="str">
        <x:v>Public</x:v>
      </x:c>
      <x:c r="D11" s="12" t="str">
        <x:v>Page</x:v>
      </x:c>
      <x:c r="E11" s="12" t="str">
        <x:v>PAGE-001 to PAGE-008</x:v>
      </x:c>
      <x:c r="F11" s="12" t="str">
        <x:v>Navigation; API access; controls; responsive UI; loading; branding; export; timing.</x:v>
      </x:c>
      <x:c r="G11" s="14" t="str">
        <x:v>Not Run</x:v>
      </x:c>
      <x:c r="H11" s="14" t="str"/>
      <x:c r="I11" s="14" t="str"/>
      <x:c r="J11" s="14" t="str"/>
      <x:c r="K11" s="14" t="str"/>
    </x:row>
    <x:row r="12" ht="70" customHeight="1">
      <x:c r="A12" s="11" t="str">
        <x:v>URL-007</x:v>
      </x:c>
      <x:c r="B12" s="11" t="str">
        <x:v>/verify-email</x:v>
      </x:c>
      <x:c r="C12" s="11" t="str">
        <x:v>Public</x:v>
      </x:c>
      <x:c r="D12" s="11" t="str">
        <x:v>Page</x:v>
      </x:c>
      <x:c r="E12" s="11" t="str">
        <x:v>PAGE-001 to PAGE-008</x:v>
      </x:c>
      <x:c r="F12" s="11" t="str">
        <x:v>Navigation; API access; controls; responsive UI; loading; branding; export; timing.</x:v>
      </x:c>
      <x:c r="G12" s="14" t="str">
        <x:v>Not Run</x:v>
      </x:c>
      <x:c r="H12" s="14" t="str"/>
      <x:c r="I12" s="14" t="str"/>
      <x:c r="J12" s="14" t="str"/>
      <x:c r="K12" s="14" t="str"/>
    </x:row>
    <x:row r="13" ht="70" customHeight="1">
      <x:c r="A13" s="12" t="str">
        <x:v>URL-008</x:v>
      </x:c>
      <x:c r="B13" s="12" t="str">
        <x:v>/forgot-password</x:v>
      </x:c>
      <x:c r="C13" s="12" t="str">
        <x:v>Public</x:v>
      </x:c>
      <x:c r="D13" s="12" t="str">
        <x:v>Page</x:v>
      </x:c>
      <x:c r="E13" s="12" t="str">
        <x:v>PAGE-001 to PAGE-008</x:v>
      </x:c>
      <x:c r="F13" s="12" t="str">
        <x:v>Navigation; API access; controls; responsive UI; loading; branding; export; timing.</x:v>
      </x:c>
      <x:c r="G13" s="14" t="str">
        <x:v>Not Run</x:v>
      </x:c>
      <x:c r="H13" s="14" t="str"/>
      <x:c r="I13" s="14" t="str"/>
      <x:c r="J13" s="14" t="str"/>
      <x:c r="K13" s="14" t="str"/>
    </x:row>
    <x:row r="14" ht="70" customHeight="1">
      <x:c r="A14" s="11" t="str">
        <x:v>URL-009</x:v>
      </x:c>
      <x:c r="B14" s="11" t="str">
        <x:v>/reset-password</x:v>
      </x:c>
      <x:c r="C14" s="11" t="str">
        <x:v>Public</x:v>
      </x:c>
      <x:c r="D14" s="11" t="str">
        <x:v>Page</x:v>
      </x:c>
      <x:c r="E14" s="11" t="str">
        <x:v>PAGE-001 to PAGE-008</x:v>
      </x:c>
      <x:c r="F14" s="11" t="str">
        <x:v>Navigation; API access; controls; responsive UI; loading; branding; export; timing.</x:v>
      </x:c>
      <x:c r="G14" s="14" t="str">
        <x:v>Not Run</x:v>
      </x:c>
      <x:c r="H14" s="14" t="str"/>
      <x:c r="I14" s="14" t="str"/>
      <x:c r="J14" s="14" t="str"/>
      <x:c r="K14" s="14" t="str"/>
    </x:row>
    <x:row r="15" ht="70" customHeight="1">
      <x:c r="A15" s="12" t="str">
        <x:v>URL-010</x:v>
      </x:c>
      <x:c r="B15" s="12" t="str">
        <x:v>/security/account</x:v>
      </x:c>
      <x:c r="C15" s="12" t="str">
        <x:v>Authenticated; verify resource policy</x:v>
      </x:c>
      <x:c r="D15" s="12" t="str">
        <x:v>Page</x:v>
      </x:c>
      <x:c r="E15" s="12" t="str">
        <x:v>PAGE-001 to PAGE-008</x:v>
      </x:c>
      <x:c r="F15" s="12" t="str">
        <x:v>Navigation; API access; controls; responsive UI; loading; branding; export; timing.</x:v>
      </x:c>
      <x:c r="G15" s="14" t="str">
        <x:v>Not Run</x:v>
      </x:c>
      <x:c r="H15" s="14" t="str"/>
      <x:c r="I15" s="14" t="str"/>
      <x:c r="J15" s="14" t="str"/>
      <x:c r="K15" s="14" t="str"/>
    </x:row>
    <x:row r="16" ht="70" customHeight="1">
      <x:c r="A16" s="11" t="str">
        <x:v>URL-011</x:v>
      </x:c>
      <x:c r="B16" s="11" t="str">
        <x:v>/security/mfa</x:v>
      </x:c>
      <x:c r="C16" s="11" t="str">
        <x:v>Public</x:v>
      </x:c>
      <x:c r="D16" s="11" t="str">
        <x:v>Page</x:v>
      </x:c>
      <x:c r="E16" s="11" t="str">
        <x:v>PAGE-001 to PAGE-008</x:v>
      </x:c>
      <x:c r="F16" s="11" t="str">
        <x:v>Navigation; API access; controls; responsive UI; loading; branding; export; timing.</x:v>
      </x:c>
      <x:c r="G16" s="14" t="str">
        <x:v>Not Run</x:v>
      </x:c>
      <x:c r="H16" s="14" t="str"/>
      <x:c r="I16" s="14" t="str"/>
      <x:c r="J16" s="14" t="str"/>
      <x:c r="K16" s="14" t="str"/>
    </x:row>
    <x:row r="17" ht="70" customHeight="1">
      <x:c r="A17" s="12" t="str">
        <x:v>URL-012</x:v>
      </x:c>
      <x:c r="B17" s="12" t="str">
        <x:v>/accept-team-invite</x:v>
      </x:c>
      <x:c r="C17" s="12" t="str">
        <x:v>Public</x:v>
      </x:c>
      <x:c r="D17" s="12" t="str">
        <x:v>Page</x:v>
      </x:c>
      <x:c r="E17" s="12" t="str">
        <x:v>PAGE-001 to PAGE-008</x:v>
      </x:c>
      <x:c r="F17" s="12" t="str">
        <x:v>Navigation; API access; controls; responsive UI; loading; branding; export; timing.</x:v>
      </x:c>
      <x:c r="G17" s="14" t="str">
        <x:v>Not Run</x:v>
      </x:c>
      <x:c r="H17" s="14" t="str"/>
      <x:c r="I17" s="14" t="str"/>
      <x:c r="J17" s="14" t="str"/>
      <x:c r="K17" s="14" t="str"/>
    </x:row>
    <x:row r="18" ht="70" customHeight="1">
      <x:c r="A18" s="11" t="str">
        <x:v>URL-013</x:v>
      </x:c>
      <x:c r="B18" s="11" t="str">
        <x:v>/login</x:v>
      </x:c>
      <x:c r="C18" s="11" t="str">
        <x:v>Guest only</x:v>
      </x:c>
      <x:c r="D18" s="11" t="str">
        <x:v>Page</x:v>
      </x:c>
      <x:c r="E18" s="11" t="str">
        <x:v>PAGE-001 to PAGE-008</x:v>
      </x:c>
      <x:c r="F18" s="11" t="str">
        <x:v>Navigation; API access; controls; responsive UI; loading; branding; export; timing.</x:v>
      </x:c>
      <x:c r="G18" s="14" t="str">
        <x:v>Not Run</x:v>
      </x:c>
      <x:c r="H18" s="14" t="str"/>
      <x:c r="I18" s="14" t="str"/>
      <x:c r="J18" s="14" t="str"/>
      <x:c r="K18" s="14" t="str"/>
    </x:row>
    <x:row r="19" ht="70" customHeight="1">
      <x:c r="A19" s="12" t="str">
        <x:v>URL-014</x:v>
      </x:c>
      <x:c r="B19" s="12" t="str">
        <x:v>/register</x:v>
      </x:c>
      <x:c r="C19" s="12" t="str">
        <x:v>Public</x:v>
      </x:c>
      <x:c r="D19" s="12" t="str">
        <x:v>Page</x:v>
      </x:c>
      <x:c r="E19" s="12" t="str">
        <x:v>PAGE-001 to PAGE-008</x:v>
      </x:c>
      <x:c r="F19" s="12" t="str">
        <x:v>Navigation; API access; controls; responsive UI; loading; branding; export; timing.</x:v>
      </x:c>
      <x:c r="G19" s="14" t="str">
        <x:v>Not Run</x:v>
      </x:c>
      <x:c r="H19" s="14" t="str"/>
      <x:c r="I19" s="14" t="str"/>
      <x:c r="J19" s="14" t="str"/>
      <x:c r="K19" s="14" t="str"/>
    </x:row>
    <x:row r="20" ht="70" customHeight="1">
      <x:c r="A20" s="11" t="str">
        <x:v>URL-015</x:v>
      </x:c>
      <x:c r="B20" s="11" t="str">
        <x:v>/terms-of-service</x:v>
      </x:c>
      <x:c r="C20" s="11" t="str">
        <x:v>Public</x:v>
      </x:c>
      <x:c r="D20" s="11" t="str">
        <x:v>Page</x:v>
      </x:c>
      <x:c r="E20" s="11" t="str">
        <x:v>PAGE-001 to PAGE-008</x:v>
      </x:c>
      <x:c r="F20" s="11" t="str">
        <x:v>Navigation; API access; controls; responsive UI; loading; branding; export; timing.</x:v>
      </x:c>
      <x:c r="G20" s="14" t="str">
        <x:v>Not Run</x:v>
      </x:c>
      <x:c r="H20" s="14" t="str"/>
      <x:c r="I20" s="14" t="str"/>
      <x:c r="J20" s="14" t="str"/>
      <x:c r="K20" s="14" t="str"/>
    </x:row>
    <x:row r="21" ht="70" customHeight="1">
      <x:c r="A21" s="12" t="str">
        <x:v>URL-016</x:v>
      </x:c>
      <x:c r="B21" s="12" t="str">
        <x:v>/privacy-notice</x:v>
      </x:c>
      <x:c r="C21" s="12" t="str">
        <x:v>Public</x:v>
      </x:c>
      <x:c r="D21" s="12" t="str">
        <x:v>Page</x:v>
      </x:c>
      <x:c r="E21" s="12" t="str">
        <x:v>PAGE-001 to PAGE-008</x:v>
      </x:c>
      <x:c r="F21" s="12" t="str">
        <x:v>Navigation; API access; controls; responsive UI; loading; branding; export; timing.</x:v>
      </x:c>
      <x:c r="G21" s="14" t="str">
        <x:v>Not Run</x:v>
      </x:c>
      <x:c r="H21" s="14" t="str"/>
      <x:c r="I21" s="14" t="str"/>
      <x:c r="J21" s="14" t="str"/>
      <x:c r="K21" s="14" t="str"/>
    </x:row>
    <x:row r="22" ht="70" customHeight="1">
      <x:c r="A22" s="11" t="str">
        <x:v>URL-017</x:v>
      </x:c>
      <x:c r="B22" s="11" t="str">
        <x:v>/terms</x:v>
      </x:c>
      <x:c r="C22" s="11" t="str">
        <x:v>Public</x:v>
      </x:c>
      <x:c r="D22" s="11" t="str">
        <x:v>Redirect</x:v>
      </x:c>
      <x:c r="E22" s="11" t="str">
        <x:v>/terms-of-service</x:v>
      </x:c>
      <x:c r="F22" s="11" t="str">
        <x:v>Expected redirect, authentication and destination scope.</x:v>
      </x:c>
      <x:c r="G22" s="14" t="str">
        <x:v>Not Run</x:v>
      </x:c>
      <x:c r="H22" s="14" t="str"/>
      <x:c r="I22" s="14" t="str"/>
      <x:c r="J22" s="14" t="str"/>
      <x:c r="K22" s="14" t="str"/>
    </x:row>
    <x:row r="23" ht="70" customHeight="1">
      <x:c r="A23" s="12" t="str">
        <x:v>URL-018</x:v>
      </x:c>
      <x:c r="B23" s="12" t="str">
        <x:v>/privacy</x:v>
      </x:c>
      <x:c r="C23" s="12" t="str">
        <x:v>Public</x:v>
      </x:c>
      <x:c r="D23" s="12" t="str">
        <x:v>Redirect</x:v>
      </x:c>
      <x:c r="E23" s="12" t="str">
        <x:v>/privacy-notice</x:v>
      </x:c>
      <x:c r="F23" s="12" t="str">
        <x:v>Expected redirect, authentication and destination scope.</x:v>
      </x:c>
      <x:c r="G23" s="14" t="str">
        <x:v>Not Run</x:v>
      </x:c>
      <x:c r="H23" s="14" t="str"/>
      <x:c r="I23" s="14" t="str"/>
      <x:c r="J23" s="14" t="str"/>
      <x:c r="K23" s="14" t="str"/>
    </x:row>
    <x:row r="24" ht="70" customHeight="1">
      <x:c r="A24" s="11" t="str">
        <x:v>URL-019</x:v>
      </x:c>
      <x:c r="B24" s="11" t="str">
        <x:v>/super-admin</x:v>
      </x:c>
      <x:c r="C24" s="11" t="str">
        <x:v>admin, super_admin</x:v>
      </x:c>
      <x:c r="D24" s="11" t="str">
        <x:v>Page</x:v>
      </x:c>
      <x:c r="E24" s="11" t="str">
        <x:v>PAGE-001 to PAGE-008</x:v>
      </x:c>
      <x:c r="F24" s="11" t="str">
        <x:v>Navigation; API access; controls; responsive UI; loading; branding; export; timing.</x:v>
      </x:c>
      <x:c r="G24" s="14" t="str">
        <x:v>Not Run</x:v>
      </x:c>
      <x:c r="H24" s="14" t="str"/>
      <x:c r="I24" s="14" t="str"/>
      <x:c r="J24" s="14" t="str"/>
      <x:c r="K24" s="14" t="str"/>
    </x:row>
    <x:row r="25" ht="70" customHeight="1">
      <x:c r="A25" s="12" t="str">
        <x:v>URL-020</x:v>
      </x:c>
      <x:c r="B25" s="12" t="str">
        <x:v>/super-admin/profile</x:v>
      </x:c>
      <x:c r="C25" s="12" t="str">
        <x:v>admin, super_admin</x:v>
      </x:c>
      <x:c r="D25" s="12" t="str">
        <x:v>Page</x:v>
      </x:c>
      <x:c r="E25" s="12" t="str">
        <x:v>PAGE-001 to PAGE-008</x:v>
      </x:c>
      <x:c r="F25" s="12" t="str">
        <x:v>Navigation; API access; controls; responsive UI; loading; branding; export; timing.</x:v>
      </x:c>
      <x:c r="G25" s="14" t="str">
        <x:v>Not Run</x:v>
      </x:c>
      <x:c r="H25" s="14" t="str"/>
      <x:c r="I25" s="14" t="str"/>
      <x:c r="J25" s="14" t="str"/>
      <x:c r="K25" s="14" t="str"/>
    </x:row>
    <x:row r="26" ht="70" customHeight="1">
      <x:c r="A26" s="11" t="str">
        <x:v>URL-021</x:v>
      </x:c>
      <x:c r="B26" s="11" t="str">
        <x:v>/super-admin/transactions</x:v>
      </x:c>
      <x:c r="C26" s="11" t="str">
        <x:v>admin, super_admin</x:v>
      </x:c>
      <x:c r="D26" s="11" t="str">
        <x:v>Page</x:v>
      </x:c>
      <x:c r="E26" s="11" t="str">
        <x:v>PAGE-001 to PAGE-008</x:v>
      </x:c>
      <x:c r="F26" s="11" t="str">
        <x:v>Navigation; API access; controls; responsive UI; loading; branding; export; timing.</x:v>
      </x:c>
      <x:c r="G26" s="14" t="str">
        <x:v>Not Run</x:v>
      </x:c>
      <x:c r="H26" s="14" t="str"/>
      <x:c r="I26" s="14" t="str"/>
      <x:c r="J26" s="14" t="str"/>
      <x:c r="K26" s="14" t="str"/>
    </x:row>
    <x:row r="27" ht="70" customHeight="1">
      <x:c r="A27" s="12" t="str">
        <x:v>URL-022</x:v>
      </x:c>
      <x:c r="B27" s="12" t="str">
        <x:v>/super-admin/revenue-analytics</x:v>
      </x:c>
      <x:c r="C27" s="12" t="str">
        <x:v>admin, super_admin</x:v>
      </x:c>
      <x:c r="D27" s="12" t="str">
        <x:v>Page</x:v>
      </x:c>
      <x:c r="E27" s="12" t="str">
        <x:v>PAGE-001 to PAGE-008</x:v>
      </x:c>
      <x:c r="F27" s="12" t="str">
        <x:v>Navigation; API access; controls; responsive UI; loading; branding; export; timing.</x:v>
      </x:c>
      <x:c r="G27" s="14" t="str">
        <x:v>Not Run</x:v>
      </x:c>
      <x:c r="H27" s="14" t="str"/>
      <x:c r="I27" s="14" t="str"/>
      <x:c r="J27" s="14" t="str"/>
      <x:c r="K27" s="14" t="str"/>
    </x:row>
    <x:row r="28" ht="70" customHeight="1">
      <x:c r="A28" s="11" t="str">
        <x:v>URL-023</x:v>
      </x:c>
      <x:c r="B28" s="11" t="str">
        <x:v>/super-admin/blueprint</x:v>
      </x:c>
      <x:c r="C28" s="11" t="str">
        <x:v>admin, super_admin</x:v>
      </x:c>
      <x:c r="D28" s="11" t="str">
        <x:v>Page</x:v>
      </x:c>
      <x:c r="E28" s="11" t="str">
        <x:v>PAGE-001 to PAGE-008</x:v>
      </x:c>
      <x:c r="F28" s="11" t="str">
        <x:v>Navigation; API access; controls; responsive UI; loading; branding; export; timing.</x:v>
      </x:c>
      <x:c r="G28" s="14" t="str">
        <x:v>Not Run</x:v>
      </x:c>
      <x:c r="H28" s="14" t="str"/>
      <x:c r="I28" s="14" t="str"/>
      <x:c r="J28" s="14" t="str"/>
      <x:c r="K28" s="14" t="str"/>
    </x:row>
    <x:row r="29" ht="70" customHeight="1">
      <x:c r="A29" s="12" t="str">
        <x:v>URL-024</x:v>
      </x:c>
      <x:c r="B29" s="12" t="str">
        <x:v>/super-admin/merchants</x:v>
      </x:c>
      <x:c r="C29" s="12" t="str">
        <x:v>admin, super_admin</x:v>
      </x:c>
      <x:c r="D29" s="12" t="str">
        <x:v>Page</x:v>
      </x:c>
      <x:c r="E29" s="12" t="str">
        <x:v>PAGE-001 to PAGE-008</x:v>
      </x:c>
      <x:c r="F29" s="12" t="str">
        <x:v>Navigation; API access; controls; responsive UI; loading; branding; export; timing.</x:v>
      </x:c>
      <x:c r="G29" s="14" t="str">
        <x:v>Not Run</x:v>
      </x:c>
      <x:c r="H29" s="14" t="str"/>
      <x:c r="I29" s="14" t="str"/>
      <x:c r="J29" s="14" t="str"/>
      <x:c r="K29" s="14" t="str"/>
    </x:row>
    <x:row r="30" ht="70" customHeight="1">
      <x:c r="A30" s="11" t="str">
        <x:v>URL-025</x:v>
      </x:c>
      <x:c r="B30" s="11" t="str">
        <x:v>/super-admin/bir-accounts</x:v>
      </x:c>
      <x:c r="C30" s="11" t="str">
        <x:v>admin, super_admin</x:v>
      </x:c>
      <x:c r="D30" s="11" t="str">
        <x:v>Page</x:v>
      </x:c>
      <x:c r="E30" s="11" t="str">
        <x:v>PAGE-001 to PAGE-008</x:v>
      </x:c>
      <x:c r="F30" s="11" t="str">
        <x:v>Navigation; API access; controls; responsive UI; loading; branding; export; timing.</x:v>
      </x:c>
      <x:c r="G30" s="14" t="str">
        <x:v>Not Run</x:v>
      </x:c>
      <x:c r="H30" s="14" t="str"/>
      <x:c r="I30" s="14" t="str"/>
      <x:c r="J30" s="14" t="str"/>
      <x:c r="K30" s="14" t="str"/>
    </x:row>
    <x:row r="31" ht="70" customHeight="1">
      <x:c r="A31" s="12" t="str">
        <x:v>URL-026</x:v>
      </x:c>
      <x:c r="B31" s="12" t="str">
        <x:v>/super-admin/client-accounts</x:v>
      </x:c>
      <x:c r="C31" s="12" t="str">
        <x:v>admin, super_admin</x:v>
      </x:c>
      <x:c r="D31" s="12" t="str">
        <x:v>Page</x:v>
      </x:c>
      <x:c r="E31" s="12" t="str">
        <x:v>PAGE-001 to PAGE-008</x:v>
      </x:c>
      <x:c r="F31" s="12" t="str">
        <x:v>Navigation; API access; controls; responsive UI; loading; branding; export; timing.</x:v>
      </x:c>
      <x:c r="G31" s="14" t="str">
        <x:v>Not Run</x:v>
      </x:c>
      <x:c r="H31" s="14" t="str"/>
      <x:c r="I31" s="14" t="str"/>
      <x:c r="J31" s="14" t="str"/>
      <x:c r="K31" s="14" t="str"/>
    </x:row>
    <x:row r="32" ht="70" customHeight="1">
      <x:c r="A32" s="11" t="str">
        <x:v>URL-027</x:v>
      </x:c>
      <x:c r="B32" s="11" t="str">
        <x:v>/super-admin/citizen-approval</x:v>
      </x:c>
      <x:c r="C32" s="11" t="str">
        <x:v>admin, super_admin</x:v>
      </x:c>
      <x:c r="D32" s="11" t="str">
        <x:v>Page</x:v>
      </x:c>
      <x:c r="E32" s="11" t="str">
        <x:v>PAGE-001 to PAGE-008</x:v>
      </x:c>
      <x:c r="F32" s="11" t="str">
        <x:v>Navigation; API access; controls; responsive UI; loading; branding; export; timing.</x:v>
      </x:c>
      <x:c r="G32" s="14" t="str">
        <x:v>Not Run</x:v>
      </x:c>
      <x:c r="H32" s="14" t="str"/>
      <x:c r="I32" s="14" t="str"/>
      <x:c r="J32" s="14" t="str"/>
      <x:c r="K32" s="14" t="str"/>
    </x:row>
    <x:row r="33" ht="70" customHeight="1">
      <x:c r="A33" s="12" t="str">
        <x:v>URL-028</x:v>
      </x:c>
      <x:c r="B33" s="12" t="str">
        <x:v>/super-admin/taxpayer-onboarding</x:v>
      </x:c>
      <x:c r="C33" s="12" t="str">
        <x:v>admin, super_admin</x:v>
      </x:c>
      <x:c r="D33" s="12" t="str">
        <x:v>Page</x:v>
      </x:c>
      <x:c r="E33" s="12" t="str">
        <x:v>PAGE-001 to PAGE-008</x:v>
      </x:c>
      <x:c r="F33" s="12" t="str">
        <x:v>Navigation; API access; controls; responsive UI; loading; branding; export; timing.</x:v>
      </x:c>
      <x:c r="G33" s="14" t="str">
        <x:v>Not Run</x:v>
      </x:c>
      <x:c r="H33" s="14" t="str"/>
      <x:c r="I33" s="14" t="str"/>
      <x:c r="J33" s="14" t="str"/>
      <x:c r="K33" s="14" t="str"/>
    </x:row>
    <x:row r="34" ht="70" customHeight="1">
      <x:c r="A34" s="11" t="str">
        <x:v>URL-029</x:v>
      </x:c>
      <x:c r="B34" s="11" t="str">
        <x:v>/super-admin/rdo-mappings</x:v>
      </x:c>
      <x:c r="C34" s="11" t="str">
        <x:v>admin, super_admin</x:v>
      </x:c>
      <x:c r="D34" s="11" t="str">
        <x:v>Page</x:v>
      </x:c>
      <x:c r="E34" s="11" t="str">
        <x:v>PAGE-001 to PAGE-008</x:v>
      </x:c>
      <x:c r="F34" s="11" t="str">
        <x:v>Navigation; API access; controls; responsive UI; loading; branding; export; timing.</x:v>
      </x:c>
      <x:c r="G34" s="14" t="str">
        <x:v>Not Run</x:v>
      </x:c>
      <x:c r="H34" s="14" t="str"/>
      <x:c r="I34" s="14" t="str"/>
      <x:c r="J34" s="14" t="str"/>
      <x:c r="K34" s="14" t="str"/>
    </x:row>
    <x:row r="35" ht="70" customHeight="1">
      <x:c r="A35" s="12" t="str">
        <x:v>URL-030</x:v>
      </x:c>
      <x:c r="B35" s="12" t="str">
        <x:v>/super-admin/users-rbac</x:v>
      </x:c>
      <x:c r="C35" s="12" t="str">
        <x:v>admin, super_admin</x:v>
      </x:c>
      <x:c r="D35" s="12" t="str">
        <x:v>Page</x:v>
      </x:c>
      <x:c r="E35" s="12" t="str">
        <x:v>PAGE-001 to PAGE-008</x:v>
      </x:c>
      <x:c r="F35" s="12" t="str">
        <x:v>Navigation; API access; controls; responsive UI; loading; branding; export; timing.</x:v>
      </x:c>
      <x:c r="G35" s="14" t="str">
        <x:v>Not Run</x:v>
      </x:c>
      <x:c r="H35" s="14" t="str"/>
      <x:c r="I35" s="14" t="str"/>
      <x:c r="J35" s="14" t="str"/>
      <x:c r="K35" s="14" t="str"/>
    </x:row>
    <x:row r="36" ht="70" customHeight="1">
      <x:c r="A36" s="11" t="str">
        <x:v>URL-031</x:v>
      </x:c>
      <x:c r="B36" s="11" t="str">
        <x:v>/super-admin/subscriptions</x:v>
      </x:c>
      <x:c r="C36" s="11" t="str">
        <x:v>admin, super_admin</x:v>
      </x:c>
      <x:c r="D36" s="11" t="str">
        <x:v>Page</x:v>
      </x:c>
      <x:c r="E36" s="11" t="str">
        <x:v>PAGE-001 to PAGE-008</x:v>
      </x:c>
      <x:c r="F36" s="11" t="str">
        <x:v>Navigation; API access; controls; responsive UI; loading; branding; export; timing.</x:v>
      </x:c>
      <x:c r="G36" s="14" t="str">
        <x:v>Not Run</x:v>
      </x:c>
      <x:c r="H36" s="14" t="str"/>
      <x:c r="I36" s="14" t="str"/>
      <x:c r="J36" s="14" t="str"/>
      <x:c r="K36" s="14" t="str"/>
    </x:row>
    <x:row r="37" ht="70" customHeight="1">
      <x:c r="A37" s="12" t="str">
        <x:v>URL-032</x:v>
      </x:c>
      <x:c r="B37" s="12" t="str">
        <x:v>/super-admin/wallets</x:v>
      </x:c>
      <x:c r="C37" s="12" t="str">
        <x:v>admin, super_admin</x:v>
      </x:c>
      <x:c r="D37" s="12" t="str">
        <x:v>Page</x:v>
      </x:c>
      <x:c r="E37" s="12" t="str">
        <x:v>PAGE-001 to PAGE-008</x:v>
      </x:c>
      <x:c r="F37" s="12" t="str">
        <x:v>Navigation; API access; controls; responsive UI; loading; branding; export; timing.</x:v>
      </x:c>
      <x:c r="G37" s="14" t="str">
        <x:v>Not Run</x:v>
      </x:c>
      <x:c r="H37" s="14" t="str"/>
      <x:c r="I37" s="14" t="str"/>
      <x:c r="J37" s="14" t="str"/>
      <x:c r="K37" s="14" t="str"/>
    </x:row>
    <x:row r="38" ht="70" customHeight="1">
      <x:c r="A38" s="11" t="str">
        <x:v>URL-033</x:v>
      </x:c>
      <x:c r="B38" s="11" t="str">
        <x:v>/super-admin/compliance-operations</x:v>
      </x:c>
      <x:c r="C38" s="11" t="str">
        <x:v>admin, super_admin</x:v>
      </x:c>
      <x:c r="D38" s="11" t="str">
        <x:v>Page</x:v>
      </x:c>
      <x:c r="E38" s="11" t="str">
        <x:v>PAGE-001 to PAGE-008</x:v>
      </x:c>
      <x:c r="F38" s="11" t="str">
        <x:v>Navigation; API access; controls; responsive UI; loading; branding; export; timing.</x:v>
      </x:c>
      <x:c r="G38" s="14" t="str">
        <x:v>Not Run</x:v>
      </x:c>
      <x:c r="H38" s="14" t="str"/>
      <x:c r="I38" s="14" t="str"/>
      <x:c r="J38" s="14" t="str"/>
      <x:c r="K38" s="14" t="str"/>
    </x:row>
    <x:row r="39" ht="70" customHeight="1">
      <x:c r="A39" s="12" t="str">
        <x:v>URL-034</x:v>
      </x:c>
      <x:c r="B39" s="12" t="str">
        <x:v>/super-admin/branch-reviews</x:v>
      </x:c>
      <x:c r="C39" s="12" t="str">
        <x:v>admin, super_admin</x:v>
      </x:c>
      <x:c r="D39" s="12" t="str">
        <x:v>Page</x:v>
      </x:c>
      <x:c r="E39" s="12" t="str">
        <x:v>PAGE-001 to PAGE-008</x:v>
      </x:c>
      <x:c r="F39" s="12" t="str">
        <x:v>Navigation; API access; controls; responsive UI; loading; branding; export; timing.</x:v>
      </x:c>
      <x:c r="G39" s="14" t="str">
        <x:v>Not Run</x:v>
      </x:c>
      <x:c r="H39" s="14" t="str"/>
      <x:c r="I39" s="14" t="str"/>
      <x:c r="J39" s="14" t="str"/>
      <x:c r="K39" s="14" t="str"/>
    </x:row>
    <x:row r="40" ht="70" customHeight="1">
      <x:c r="A40" s="11" t="str">
        <x:v>URL-035</x:v>
      </x:c>
      <x:c r="B40" s="11" t="str">
        <x:v>/super-admin/support</x:v>
      </x:c>
      <x:c r="C40" s="11" t="str">
        <x:v>admin, super_admin</x:v>
      </x:c>
      <x:c r="D40" s="11" t="str">
        <x:v>Page</x:v>
      </x:c>
      <x:c r="E40" s="11" t="str">
        <x:v>PAGE-001 to PAGE-008</x:v>
      </x:c>
      <x:c r="F40" s="11" t="str">
        <x:v>Navigation; API access; controls; responsive UI; loading; branding; export; timing.</x:v>
      </x:c>
      <x:c r="G40" s="14" t="str">
        <x:v>Not Run</x:v>
      </x:c>
      <x:c r="H40" s="14" t="str"/>
      <x:c r="I40" s="14" t="str"/>
      <x:c r="J40" s="14" t="str"/>
      <x:c r="K40" s="14" t="str"/>
    </x:row>
    <x:row r="41" ht="70" customHeight="1">
      <x:c r="A41" s="12" t="str">
        <x:v>URL-036</x:v>
      </x:c>
      <x:c r="B41" s="12" t="str">
        <x:v>/super-admin/compliance</x:v>
      </x:c>
      <x:c r="C41" s="12" t="str">
        <x:v>admin, super_admin</x:v>
      </x:c>
      <x:c r="D41" s="12" t="str">
        <x:v>Page</x:v>
      </x:c>
      <x:c r="E41" s="12" t="str">
        <x:v>PAGE-001 to PAGE-008</x:v>
      </x:c>
      <x:c r="F41" s="12" t="str">
        <x:v>Navigation; API access; controls; responsive UI; loading; branding; export; timing.</x:v>
      </x:c>
      <x:c r="G41" s="14" t="str">
        <x:v>Not Run</x:v>
      </x:c>
      <x:c r="H41" s="14" t="str"/>
      <x:c r="I41" s="14" t="str"/>
      <x:c r="J41" s="14" t="str"/>
      <x:c r="K41" s="14" t="str"/>
    </x:row>
    <x:row r="42" ht="70" customHeight="1">
      <x:c r="A42" s="11" t="str">
        <x:v>URL-037</x:v>
      </x:c>
      <x:c r="B42" s="11" t="str">
        <x:v>/super-admin/fraud</x:v>
      </x:c>
      <x:c r="C42" s="11" t="str">
        <x:v>admin, super_admin</x:v>
      </x:c>
      <x:c r="D42" s="11" t="str">
        <x:v>Page</x:v>
      </x:c>
      <x:c r="E42" s="11" t="str">
        <x:v>PAGE-001 to PAGE-008</x:v>
      </x:c>
      <x:c r="F42" s="11" t="str">
        <x:v>Navigation; API access; controls; responsive UI; loading; branding; export; timing.</x:v>
      </x:c>
      <x:c r="G42" s="14" t="str">
        <x:v>Not Run</x:v>
      </x:c>
      <x:c r="H42" s="14" t="str"/>
      <x:c r="I42" s="14" t="str"/>
      <x:c r="J42" s="14" t="str"/>
      <x:c r="K42" s="14" t="str"/>
    </x:row>
    <x:row r="43" ht="70" customHeight="1">
      <x:c r="A43" s="12" t="str">
        <x:v>URL-038</x:v>
      </x:c>
      <x:c r="B43" s="12" t="str">
        <x:v>/super-admin/tax-filings</x:v>
      </x:c>
      <x:c r="C43" s="12" t="str">
        <x:v>admin, super_admin</x:v>
      </x:c>
      <x:c r="D43" s="12" t="str">
        <x:v>Page</x:v>
      </x:c>
      <x:c r="E43" s="12" t="str">
        <x:v>PAGE-001 to PAGE-008</x:v>
      </x:c>
      <x:c r="F43" s="12" t="str">
        <x:v>Navigation; API access; controls; responsive UI; loading; branding; export; timing.</x:v>
      </x:c>
      <x:c r="G43" s="14" t="str">
        <x:v>Not Run</x:v>
      </x:c>
      <x:c r="H43" s="14" t="str"/>
      <x:c r="I43" s="14" t="str"/>
      <x:c r="J43" s="14" t="str"/>
      <x:c r="K43" s="14" t="str"/>
    </x:row>
    <x:row r="44" ht="70" customHeight="1">
      <x:c r="A44" s="11" t="str">
        <x:v>URL-039</x:v>
      </x:c>
      <x:c r="B44" s="11" t="str">
        <x:v>/super-admin/reports</x:v>
      </x:c>
      <x:c r="C44" s="11" t="str">
        <x:v>admin, super_admin</x:v>
      </x:c>
      <x:c r="D44" s="11" t="str">
        <x:v>Page</x:v>
      </x:c>
      <x:c r="E44" s="11" t="str">
        <x:v>PAGE-001 to PAGE-008</x:v>
      </x:c>
      <x:c r="F44" s="11" t="str">
        <x:v>Navigation; API access; controls; responsive UI; loading; branding; export; timing.</x:v>
      </x:c>
      <x:c r="G44" s="14" t="str">
        <x:v>Not Run</x:v>
      </x:c>
      <x:c r="H44" s="14" t="str"/>
      <x:c r="I44" s="14" t="str"/>
      <x:c r="J44" s="14" t="str"/>
      <x:c r="K44" s="14" t="str"/>
    </x:row>
    <x:row r="45" ht="70" customHeight="1">
      <x:c r="A45" s="12" t="str">
        <x:v>URL-040</x:v>
      </x:c>
      <x:c r="B45" s="12" t="str">
        <x:v>/super-admin/ai-recommendations</x:v>
      </x:c>
      <x:c r="C45" s="12" t="str">
        <x:v>admin, super_admin</x:v>
      </x:c>
      <x:c r="D45" s="12" t="str">
        <x:v>Page</x:v>
      </x:c>
      <x:c r="E45" s="12" t="str">
        <x:v>PAGE-001 to PAGE-008</x:v>
      </x:c>
      <x:c r="F45" s="12" t="str">
        <x:v>Navigation; API access; controls; responsive UI; loading; branding; export; timing.</x:v>
      </x:c>
      <x:c r="G45" s="14" t="str">
        <x:v>Not Run</x:v>
      </x:c>
      <x:c r="H45" s="14" t="str"/>
      <x:c r="I45" s="14" t="str"/>
      <x:c r="J45" s="14" t="str"/>
      <x:c r="K45" s="14" t="str"/>
    </x:row>
    <x:row r="46" ht="70" customHeight="1">
      <x:c r="A46" s="11" t="str">
        <x:v>URL-041</x:v>
      </x:c>
      <x:c r="B46" s="11" t="str">
        <x:v>/super-admin/tax-operations</x:v>
      </x:c>
      <x:c r="C46" s="11" t="str">
        <x:v>admin, super_admin</x:v>
      </x:c>
      <x:c r="D46" s="11" t="str">
        <x:v>Page</x:v>
      </x:c>
      <x:c r="E46" s="11" t="str">
        <x:v>PAGE-001 to PAGE-008</x:v>
      </x:c>
      <x:c r="F46" s="11" t="str">
        <x:v>Navigation; API access; controls; responsive UI; loading; branding; export; timing.</x:v>
      </x:c>
      <x:c r="G46" s="14" t="str">
        <x:v>Not Run</x:v>
      </x:c>
      <x:c r="H46" s="14" t="str"/>
      <x:c r="I46" s="14" t="str"/>
      <x:c r="J46" s="14" t="str"/>
      <x:c r="K46" s="14" t="str"/>
    </x:row>
    <x:row r="47" ht="70" customHeight="1">
      <x:c r="A47" s="12" t="str">
        <x:v>URL-042</x:v>
      </x:c>
      <x:c r="B47" s="12" t="str">
        <x:v>/super-admin/tax-intelligence</x:v>
      </x:c>
      <x:c r="C47" s="12" t="str">
        <x:v>admin, super_admin</x:v>
      </x:c>
      <x:c r="D47" s="12" t="str">
        <x:v>Page</x:v>
      </x:c>
      <x:c r="E47" s="12" t="str">
        <x:v>PAGE-001 to PAGE-008</x:v>
      </x:c>
      <x:c r="F47" s="12" t="str">
        <x:v>Navigation; API access; controls; responsive UI; loading; branding; export; timing.</x:v>
      </x:c>
      <x:c r="G47" s="14" t="str">
        <x:v>Not Run</x:v>
      </x:c>
      <x:c r="H47" s="14" t="str"/>
      <x:c r="I47" s="14" t="str"/>
      <x:c r="J47" s="14" t="str"/>
      <x:c r="K47" s="14" t="str"/>
    </x:row>
    <x:row r="48" ht="70" customHeight="1">
      <x:c r="A48" s="11" t="str">
        <x:v>URL-043</x:v>
      </x:c>
      <x:c r="B48" s="11" t="str">
        <x:v>/super-admin/tax-rules</x:v>
      </x:c>
      <x:c r="C48" s="11" t="str">
        <x:v>admin, super_admin</x:v>
      </x:c>
      <x:c r="D48" s="11" t="str">
        <x:v>Page</x:v>
      </x:c>
      <x:c r="E48" s="11" t="str">
        <x:v>PAGE-001 to PAGE-008</x:v>
      </x:c>
      <x:c r="F48" s="11" t="str">
        <x:v>Navigation; API access; controls; responsive UI; loading; branding; export; timing.</x:v>
      </x:c>
      <x:c r="G48" s="14" t="str">
        <x:v>Not Run</x:v>
      </x:c>
      <x:c r="H48" s="14" t="str"/>
      <x:c r="I48" s="14" t="str"/>
      <x:c r="J48" s="14" t="str"/>
      <x:c r="K48" s="14" t="str"/>
    </x:row>
    <x:row r="49" ht="70" customHeight="1">
      <x:c r="A49" s="12" t="str">
        <x:v>URL-044</x:v>
      </x:c>
      <x:c r="B49" s="12" t="str">
        <x:v>/super-admin/fraud-models</x:v>
      </x:c>
      <x:c r="C49" s="12" t="str">
        <x:v>admin, super_admin</x:v>
      </x:c>
      <x:c r="D49" s="12" t="str">
        <x:v>Page</x:v>
      </x:c>
      <x:c r="E49" s="12" t="str">
        <x:v>PAGE-001 to PAGE-008</x:v>
      </x:c>
      <x:c r="F49" s="12" t="str">
        <x:v>Navigation; API access; controls; responsive UI; loading; branding; export; timing.</x:v>
      </x:c>
      <x:c r="G49" s="14" t="str">
        <x:v>Not Run</x:v>
      </x:c>
      <x:c r="H49" s="14" t="str"/>
      <x:c r="I49" s="14" t="str"/>
      <x:c r="J49" s="14" t="str"/>
      <x:c r="K49" s="14" t="str"/>
    </x:row>
    <x:row r="50" ht="70" customHeight="1">
      <x:c r="A50" s="11" t="str">
        <x:v>URL-045</x:v>
      </x:c>
      <x:c r="B50" s="11" t="str">
        <x:v>/super-admin/reconciliation</x:v>
      </x:c>
      <x:c r="C50" s="11" t="str">
        <x:v>admin, super_admin</x:v>
      </x:c>
      <x:c r="D50" s="11" t="str">
        <x:v>Page</x:v>
      </x:c>
      <x:c r="E50" s="11" t="str">
        <x:v>PAGE-001 to PAGE-008</x:v>
      </x:c>
      <x:c r="F50" s="11" t="str">
        <x:v>Navigation; API access; controls; responsive UI; loading; branding; export; timing.</x:v>
      </x:c>
      <x:c r="G50" s="14" t="str">
        <x:v>Not Run</x:v>
      </x:c>
      <x:c r="H50" s="14" t="str"/>
      <x:c r="I50" s="14" t="str"/>
      <x:c r="J50" s="14" t="str"/>
      <x:c r="K50" s="14" t="str"/>
    </x:row>
    <x:row r="51" ht="70" customHeight="1">
      <x:c r="A51" s="12" t="str">
        <x:v>URL-046</x:v>
      </x:c>
      <x:c r="B51" s="12" t="str">
        <x:v>/super-admin/tax-analytics</x:v>
      </x:c>
      <x:c r="C51" s="12" t="str">
        <x:v>admin, super_admin</x:v>
      </x:c>
      <x:c r="D51" s="12" t="str">
        <x:v>Page</x:v>
      </x:c>
      <x:c r="E51" s="12" t="str">
        <x:v>PAGE-001 to PAGE-008</x:v>
      </x:c>
      <x:c r="F51" s="12" t="str">
        <x:v>Navigation; API access; controls; responsive UI; loading; branding; export; timing.</x:v>
      </x:c>
      <x:c r="G51" s="14" t="str">
        <x:v>Not Run</x:v>
      </x:c>
      <x:c r="H51" s="14" t="str"/>
      <x:c r="I51" s="14" t="str"/>
      <x:c r="J51" s="14" t="str"/>
      <x:c r="K51" s="14" t="str"/>
    </x:row>
    <x:row r="52" ht="70" customHeight="1">
      <x:c r="A52" s="11" t="str">
        <x:v>URL-047</x:v>
      </x:c>
      <x:c r="B52" s="11" t="str">
        <x:v>/super-admin/graph</x:v>
      </x:c>
      <x:c r="C52" s="11" t="str">
        <x:v>admin, super_admin</x:v>
      </x:c>
      <x:c r="D52" s="11" t="str">
        <x:v>Page</x:v>
      </x:c>
      <x:c r="E52" s="11" t="str">
        <x:v>PAGE-001 to PAGE-008</x:v>
      </x:c>
      <x:c r="F52" s="11" t="str">
        <x:v>Navigation; API access; controls; responsive UI; loading; branding; export; timing.</x:v>
      </x:c>
      <x:c r="G52" s="14" t="str">
        <x:v>Not Run</x:v>
      </x:c>
      <x:c r="H52" s="14" t="str"/>
      <x:c r="I52" s="14" t="str"/>
      <x:c r="J52" s="14" t="str"/>
      <x:c r="K52" s="14" t="str"/>
    </x:row>
    <x:row r="53" ht="70" customHeight="1">
      <x:c r="A53" s="12" t="str">
        <x:v>URL-048</x:v>
      </x:c>
      <x:c r="B53" s="12" t="str">
        <x:v>/super-admin/security</x:v>
      </x:c>
      <x:c r="C53" s="12" t="str">
        <x:v>admin, super_admin</x:v>
      </x:c>
      <x:c r="D53" s="12" t="str">
        <x:v>Page</x:v>
      </x:c>
      <x:c r="E53" s="12" t="str">
        <x:v>PAGE-001 to PAGE-008</x:v>
      </x:c>
      <x:c r="F53" s="12" t="str">
        <x:v>Navigation; API access; controls; responsive UI; loading; branding; export; timing.</x:v>
      </x:c>
      <x:c r="G53" s="14" t="str">
        <x:v>Not Run</x:v>
      </x:c>
      <x:c r="H53" s="14" t="str"/>
      <x:c r="I53" s="14" t="str"/>
      <x:c r="J53" s="14" t="str"/>
      <x:c r="K53" s="14" t="str"/>
    </x:row>
    <x:row r="54" ht="70" customHeight="1">
      <x:c r="A54" s="11" t="str">
        <x:v>URL-049</x:v>
      </x:c>
      <x:c r="B54" s="11" t="str">
        <x:v>/super-admin/soc-operations</x:v>
      </x:c>
      <x:c r="C54" s="11" t="str">
        <x:v>admin, super_admin</x:v>
      </x:c>
      <x:c r="D54" s="11" t="str">
        <x:v>Page</x:v>
      </x:c>
      <x:c r="E54" s="11" t="str">
        <x:v>PAGE-001 to PAGE-008</x:v>
      </x:c>
      <x:c r="F54" s="11" t="str">
        <x:v>Navigation; API access; controls; responsive UI; loading; branding; export; timing.</x:v>
      </x:c>
      <x:c r="G54" s="14" t="str">
        <x:v>Not Run</x:v>
      </x:c>
      <x:c r="H54" s="14" t="str"/>
      <x:c r="I54" s="14" t="str"/>
      <x:c r="J54" s="14" t="str"/>
      <x:c r="K54" s="14" t="str"/>
    </x:row>
    <x:row r="55" ht="70" customHeight="1">
      <x:c r="A55" s="12" t="str">
        <x:v>URL-050</x:v>
      </x:c>
      <x:c r="B55" s="12" t="str">
        <x:v>/super-admin/audit</x:v>
      </x:c>
      <x:c r="C55" s="12" t="str">
        <x:v>admin, super_admin</x:v>
      </x:c>
      <x:c r="D55" s="12" t="str">
        <x:v>Page</x:v>
      </x:c>
      <x:c r="E55" s="12" t="str">
        <x:v>PAGE-001 to PAGE-008</x:v>
      </x:c>
      <x:c r="F55" s="12" t="str">
        <x:v>Navigation; API access; controls; responsive UI; loading; branding; export; timing.</x:v>
      </x:c>
      <x:c r="G55" s="14" t="str">
        <x:v>Not Run</x:v>
      </x:c>
      <x:c r="H55" s="14" t="str"/>
      <x:c r="I55" s="14" t="str"/>
      <x:c r="J55" s="14" t="str"/>
      <x:c r="K55" s="14" t="str"/>
    </x:row>
    <x:row r="56" ht="70" customHeight="1">
      <x:c r="A56" s="11" t="str">
        <x:v>URL-051</x:v>
      </x:c>
      <x:c r="B56" s="11" t="str">
        <x:v>/super-admin/certificates</x:v>
      </x:c>
      <x:c r="C56" s="11" t="str">
        <x:v>admin, super_admin</x:v>
      </x:c>
      <x:c r="D56" s="11" t="str">
        <x:v>Page</x:v>
      </x:c>
      <x:c r="E56" s="11" t="str">
        <x:v>PAGE-001 to PAGE-008</x:v>
      </x:c>
      <x:c r="F56" s="11" t="str">
        <x:v>Navigation; API access; controls; responsive UI; loading; branding; export; timing.</x:v>
      </x:c>
      <x:c r="G56" s="14" t="str">
        <x:v>Not Run</x:v>
      </x:c>
      <x:c r="H56" s="14" t="str"/>
      <x:c r="I56" s="14" t="str"/>
      <x:c r="J56" s="14" t="str"/>
      <x:c r="K56" s="14" t="str"/>
    </x:row>
    <x:row r="57" ht="70" customHeight="1">
      <x:c r="A57" s="12" t="str">
        <x:v>URL-052</x:v>
      </x:c>
      <x:c r="B57" s="12" t="str">
        <x:v>/super-admin/mfa-device-trust</x:v>
      </x:c>
      <x:c r="C57" s="12" t="str">
        <x:v>admin, super_admin</x:v>
      </x:c>
      <x:c r="D57" s="12" t="str">
        <x:v>Page</x:v>
      </x:c>
      <x:c r="E57" s="12" t="str">
        <x:v>PAGE-001 to PAGE-008</x:v>
      </x:c>
      <x:c r="F57" s="12" t="str">
        <x:v>Navigation; API access; controls; responsive UI; loading; branding; export; timing.</x:v>
      </x:c>
      <x:c r="G57" s="14" t="str">
        <x:v>Not Run</x:v>
      </x:c>
      <x:c r="H57" s="14" t="str"/>
      <x:c r="I57" s="14" t="str"/>
      <x:c r="J57" s="14" t="str"/>
      <x:c r="K57" s="14" t="str"/>
    </x:row>
    <x:row r="58" ht="70" customHeight="1">
      <x:c r="A58" s="11" t="str">
        <x:v>URL-053</x:v>
      </x:c>
      <x:c r="B58" s="11" t="str">
        <x:v>/super-admin/pti-ptt</x:v>
      </x:c>
      <x:c r="C58" s="11" t="str">
        <x:v>admin, super_admin</x:v>
      </x:c>
      <x:c r="D58" s="11" t="str">
        <x:v>Page</x:v>
      </x:c>
      <x:c r="E58" s="11" t="str">
        <x:v>PAGE-001 to PAGE-008</x:v>
      </x:c>
      <x:c r="F58" s="11" t="str">
        <x:v>Navigation; API access; controls; responsive UI; loading; branding; export; timing.</x:v>
      </x:c>
      <x:c r="G58" s="14" t="str">
        <x:v>Not Run</x:v>
      </x:c>
      <x:c r="H58" s="14" t="str"/>
      <x:c r="I58" s="14" t="str"/>
      <x:c r="J58" s="14" t="str"/>
      <x:c r="K58" s="14" t="str"/>
    </x:row>
    <x:row r="59" ht="70" customHeight="1">
      <x:c r="A59" s="12" t="str">
        <x:v>URL-054</x:v>
      </x:c>
      <x:c r="B59" s="12" t="str">
        <x:v>/super-admin/api-platform</x:v>
      </x:c>
      <x:c r="C59" s="12" t="str">
        <x:v>admin, super_admin</x:v>
      </x:c>
      <x:c r="D59" s="12" t="str">
        <x:v>Page</x:v>
      </x:c>
      <x:c r="E59" s="12" t="str">
        <x:v>PAGE-001 to PAGE-008</x:v>
      </x:c>
      <x:c r="F59" s="12" t="str">
        <x:v>Navigation; API access; controls; responsive UI; loading; branding; export; timing.</x:v>
      </x:c>
      <x:c r="G59" s="14" t="str">
        <x:v>Not Run</x:v>
      </x:c>
      <x:c r="H59" s="14" t="str"/>
      <x:c r="I59" s="14" t="str"/>
      <x:c r="J59" s="14" t="str"/>
      <x:c r="K59" s="14" t="str"/>
    </x:row>
    <x:row r="60" ht="70" customHeight="1">
      <x:c r="A60" s="11" t="str">
        <x:v>URL-055</x:v>
      </x:c>
      <x:c r="B60" s="11" t="str">
        <x:v>/super-admin/eis-readiness</x:v>
      </x:c>
      <x:c r="C60" s="11" t="str">
        <x:v>admin, super_admin</x:v>
      </x:c>
      <x:c r="D60" s="11" t="str">
        <x:v>Page</x:v>
      </x:c>
      <x:c r="E60" s="11" t="str">
        <x:v>PAGE-001 to PAGE-008</x:v>
      </x:c>
      <x:c r="F60" s="11" t="str">
        <x:v>Navigation; API access; controls; responsive UI; loading; branding; export; timing.</x:v>
      </x:c>
      <x:c r="G60" s="14" t="str">
        <x:v>Not Run</x:v>
      </x:c>
      <x:c r="H60" s="14" t="str"/>
      <x:c r="I60" s="14" t="str"/>
      <x:c r="J60" s="14" t="str"/>
      <x:c r="K60" s="14" t="str"/>
    </x:row>
    <x:row r="61" ht="70" customHeight="1">
      <x:c r="A61" s="12" t="str">
        <x:v>URL-056</x:v>
      </x:c>
      <x:c r="B61" s="12" t="str">
        <x:v>/super-admin/eis-transmissions</x:v>
      </x:c>
      <x:c r="C61" s="12" t="str">
        <x:v>admin, super_admin</x:v>
      </x:c>
      <x:c r="D61" s="12" t="str">
        <x:v>Page</x:v>
      </x:c>
      <x:c r="E61" s="12" t="str">
        <x:v>PAGE-001 to PAGE-008</x:v>
      </x:c>
      <x:c r="F61" s="12" t="str">
        <x:v>Navigation; API access; controls; responsive UI; loading; branding; export; timing.</x:v>
      </x:c>
      <x:c r="G61" s="14" t="str">
        <x:v>Not Run</x:v>
      </x:c>
      <x:c r="H61" s="14" t="str"/>
      <x:c r="I61" s="14" t="str"/>
      <x:c r="J61" s="14" t="str"/>
      <x:c r="K61" s="14" t="str"/>
    </x:row>
    <x:row r="62" ht="70" customHeight="1">
      <x:c r="A62" s="11" t="str">
        <x:v>URL-057</x:v>
      </x:c>
      <x:c r="B62" s="11" t="str">
        <x:v>/super-admin/eis-gateway</x:v>
      </x:c>
      <x:c r="C62" s="11" t="str">
        <x:v>admin, super_admin</x:v>
      </x:c>
      <x:c r="D62" s="11" t="str">
        <x:v>Page</x:v>
      </x:c>
      <x:c r="E62" s="11" t="str">
        <x:v>PAGE-001 to PAGE-008</x:v>
      </x:c>
      <x:c r="F62" s="11" t="str">
        <x:v>Navigation; API access; controls; responsive UI; loading; branding; export; timing.</x:v>
      </x:c>
      <x:c r="G62" s="14" t="str">
        <x:v>Not Run</x:v>
      </x:c>
      <x:c r="H62" s="14" t="str"/>
      <x:c r="I62" s="14" t="str"/>
      <x:c r="J62" s="14" t="str"/>
      <x:c r="K62" s="14" t="str"/>
    </x:row>
    <x:row r="63" ht="70" customHeight="1">
      <x:c r="A63" s="12" t="str">
        <x:v>URL-058</x:v>
      </x:c>
      <x:c r="B63" s="12" t="str">
        <x:v>/super-admin/api-keys</x:v>
      </x:c>
      <x:c r="C63" s="12" t="str">
        <x:v>admin, super_admin</x:v>
      </x:c>
      <x:c r="D63" s="12" t="str">
        <x:v>Page</x:v>
      </x:c>
      <x:c r="E63" s="12" t="str">
        <x:v>PAGE-001 to PAGE-008</x:v>
      </x:c>
      <x:c r="F63" s="12" t="str">
        <x:v>Navigation; API access; controls; responsive UI; loading; branding; export; timing.</x:v>
      </x:c>
      <x:c r="G63" s="14" t="str">
        <x:v>Not Run</x:v>
      </x:c>
      <x:c r="H63" s="14" t="str"/>
      <x:c r="I63" s="14" t="str"/>
      <x:c r="J63" s="14" t="str"/>
      <x:c r="K63" s="14" t="str"/>
    </x:row>
    <x:row r="64" ht="70" customHeight="1">
      <x:c r="A64" s="11" t="str">
        <x:v>URL-059</x:v>
      </x:c>
      <x:c r="B64" s="11" t="str">
        <x:v>/super-admin/webhooks</x:v>
      </x:c>
      <x:c r="C64" s="11" t="str">
        <x:v>admin, super_admin</x:v>
      </x:c>
      <x:c r="D64" s="11" t="str">
        <x:v>Page</x:v>
      </x:c>
      <x:c r="E64" s="11" t="str">
        <x:v>PAGE-001 to PAGE-008</x:v>
      </x:c>
      <x:c r="F64" s="11" t="str">
        <x:v>Navigation; API access; controls; responsive UI; loading; branding; export; timing.</x:v>
      </x:c>
      <x:c r="G64" s="14" t="str">
        <x:v>Not Run</x:v>
      </x:c>
      <x:c r="H64" s="14" t="str"/>
      <x:c r="I64" s="14" t="str"/>
      <x:c r="J64" s="14" t="str"/>
      <x:c r="K64" s="14" t="str"/>
    </x:row>
    <x:row r="65" ht="70" customHeight="1">
      <x:c r="A65" s="12" t="str">
        <x:v>URL-060</x:v>
      </x:c>
      <x:c r="B65" s="12" t="str">
        <x:v>/super-admin/payment-gateways</x:v>
      </x:c>
      <x:c r="C65" s="12" t="str">
        <x:v>admin, super_admin</x:v>
      </x:c>
      <x:c r="D65" s="12" t="str">
        <x:v>Page</x:v>
      </x:c>
      <x:c r="E65" s="12" t="str">
        <x:v>PAGE-001 to PAGE-008</x:v>
      </x:c>
      <x:c r="F65" s="12" t="str">
        <x:v>Navigation; API access; controls; responsive UI; loading; branding; export; timing.</x:v>
      </x:c>
      <x:c r="G65" s="14" t="str">
        <x:v>Not Run</x:v>
      </x:c>
      <x:c r="H65" s="14" t="str"/>
      <x:c r="I65" s="14" t="str"/>
      <x:c r="J65" s="14" t="str"/>
      <x:c r="K65" s="14" t="str"/>
    </x:row>
    <x:row r="66" ht="70" customHeight="1">
      <x:c r="A66" s="11" t="str">
        <x:v>URL-061</x:v>
      </x:c>
      <x:c r="B66" s="11" t="str">
        <x:v>/super-admin/system-health</x:v>
      </x:c>
      <x:c r="C66" s="11" t="str">
        <x:v>admin, super_admin</x:v>
      </x:c>
      <x:c r="D66" s="11" t="str">
        <x:v>Page</x:v>
      </x:c>
      <x:c r="E66" s="11" t="str">
        <x:v>PAGE-001 to PAGE-008</x:v>
      </x:c>
      <x:c r="F66" s="11" t="str">
        <x:v>Navigation; API access; controls; responsive UI; loading; branding; export; timing.</x:v>
      </x:c>
      <x:c r="G66" s="14" t="str">
        <x:v>Not Run</x:v>
      </x:c>
      <x:c r="H66" s="14" t="str"/>
      <x:c r="I66" s="14" t="str"/>
      <x:c r="J66" s="14" t="str"/>
      <x:c r="K66" s="14" t="str"/>
    </x:row>
    <x:row r="67" ht="70" customHeight="1">
      <x:c r="A67" s="12" t="str">
        <x:v>URL-062</x:v>
      </x:c>
      <x:c r="B67" s="12" t="str">
        <x:v>/super-admin/server-management</x:v>
      </x:c>
      <x:c r="C67" s="12" t="str">
        <x:v>super_admin</x:v>
      </x:c>
      <x:c r="D67" s="12" t="str">
        <x:v>Page</x:v>
      </x:c>
      <x:c r="E67" s="12" t="str">
        <x:v>PAGE-001 to PAGE-008</x:v>
      </x:c>
      <x:c r="F67" s="12" t="str">
        <x:v>Navigation; API access; controls; responsive UI; loading; branding; export; timing.</x:v>
      </x:c>
      <x:c r="G67" s="14" t="str">
        <x:v>Not Run</x:v>
      </x:c>
      <x:c r="H67" s="14" t="str"/>
      <x:c r="I67" s="14" t="str"/>
      <x:c r="J67" s="14" t="str"/>
      <x:c r="K67" s="14" t="str"/>
    </x:row>
    <x:row r="68" ht="70" customHeight="1">
      <x:c r="A68" s="11" t="str">
        <x:v>URL-063</x:v>
      </x:c>
      <x:c r="B68" s="11" t="str">
        <x:v>/super-admin/backups</x:v>
      </x:c>
      <x:c r="C68" s="11" t="str">
        <x:v>admin, super_admin</x:v>
      </x:c>
      <x:c r="D68" s="11" t="str">
        <x:v>Page</x:v>
      </x:c>
      <x:c r="E68" s="11" t="str">
        <x:v>PAGE-001 to PAGE-008</x:v>
      </x:c>
      <x:c r="F68" s="11" t="str">
        <x:v>Navigation; API access; controls; responsive UI; loading; branding; export; timing.</x:v>
      </x:c>
      <x:c r="G68" s="14" t="str">
        <x:v>Not Run</x:v>
      </x:c>
      <x:c r="H68" s="14" t="str"/>
      <x:c r="I68" s="14" t="str"/>
      <x:c r="J68" s="14" t="str"/>
      <x:c r="K68" s="14" t="str"/>
    </x:row>
    <x:row r="69" ht="70" customHeight="1">
      <x:c r="A69" s="12" t="str">
        <x:v>URL-064</x:v>
      </x:c>
      <x:c r="B69" s="12" t="str">
        <x:v>/super-admin/data-archive</x:v>
      </x:c>
      <x:c r="C69" s="12" t="str">
        <x:v>admin, super_admin</x:v>
      </x:c>
      <x:c r="D69" s="12" t="str">
        <x:v>Page</x:v>
      </x:c>
      <x:c r="E69" s="12" t="str">
        <x:v>PAGE-001 to PAGE-008</x:v>
      </x:c>
      <x:c r="F69" s="12" t="str">
        <x:v>Navigation; API access; controls; responsive UI; loading; branding; export; timing.</x:v>
      </x:c>
      <x:c r="G69" s="14" t="str">
        <x:v>Not Run</x:v>
      </x:c>
      <x:c r="H69" s="14" t="str"/>
      <x:c r="I69" s="14" t="str"/>
      <x:c r="J69" s="14" t="str"/>
      <x:c r="K69" s="14" t="str"/>
    </x:row>
    <x:row r="70" ht="70" customHeight="1">
      <x:c r="A70" s="11" t="str">
        <x:v>URL-065</x:v>
      </x:c>
      <x:c r="B70" s="11" t="str">
        <x:v>/super-admin/notifications</x:v>
      </x:c>
      <x:c r="C70" s="11" t="str">
        <x:v>admin, super_admin</x:v>
      </x:c>
      <x:c r="D70" s="11" t="str">
        <x:v>Page</x:v>
      </x:c>
      <x:c r="E70" s="11" t="str">
        <x:v>PAGE-001 to PAGE-008</x:v>
      </x:c>
      <x:c r="F70" s="11" t="str">
        <x:v>Navigation; API access; controls; responsive UI; loading; branding; export; timing.</x:v>
      </x:c>
      <x:c r="G70" s="14" t="str">
        <x:v>Not Run</x:v>
      </x:c>
      <x:c r="H70" s="14" t="str"/>
      <x:c r="I70" s="14" t="str"/>
      <x:c r="J70" s="14" t="str"/>
      <x:c r="K70" s="14" t="str"/>
    </x:row>
    <x:row r="71" ht="70" customHeight="1">
      <x:c r="A71" s="12" t="str">
        <x:v>URL-066</x:v>
      </x:c>
      <x:c r="B71" s="12" t="str">
        <x:v>/bir</x:v>
      </x:c>
      <x:c r="C71" s="12" t="str">
        <x:v>admin, bir, super_admin</x:v>
      </x:c>
      <x:c r="D71" s="12" t="str">
        <x:v>Page</x:v>
      </x:c>
      <x:c r="E71" s="12" t="str">
        <x:v>PAGE-001 to PAGE-008</x:v>
      </x:c>
      <x:c r="F71" s="12" t="str">
        <x:v>Navigation; API access; controls; responsive UI; loading; branding; export; timing.</x:v>
      </x:c>
      <x:c r="G71" s="14" t="str">
        <x:v>Not Run</x:v>
      </x:c>
      <x:c r="H71" s="14" t="str"/>
      <x:c r="I71" s="14" t="str"/>
      <x:c r="J71" s="14" t="str"/>
      <x:c r="K71" s="14" t="str"/>
    </x:row>
    <x:row r="72" ht="70" customHeight="1">
      <x:c r="A72" s="11" t="str">
        <x:v>URL-067</x:v>
      </x:c>
      <x:c r="B72" s="11" t="str">
        <x:v>/bir/rdo-registration</x:v>
      </x:c>
      <x:c r="C72" s="11" t="str">
        <x:v>admin, bir, super_admin</x:v>
      </x:c>
      <x:c r="D72" s="11" t="str">
        <x:v>Page</x:v>
      </x:c>
      <x:c r="E72" s="11" t="str">
        <x:v>PAGE-001 to PAGE-008</x:v>
      </x:c>
      <x:c r="F72" s="11" t="str">
        <x:v>Navigation; API access; controls; responsive UI; loading; branding; export; timing.</x:v>
      </x:c>
      <x:c r="G72" s="14" t="str">
        <x:v>Not Run</x:v>
      </x:c>
      <x:c r="H72" s="14" t="str"/>
      <x:c r="I72" s="14" t="str"/>
      <x:c r="J72" s="14" t="str"/>
      <x:c r="K72" s="14" t="str"/>
    </x:row>
    <x:row r="73" ht="70" customHeight="1">
      <x:c r="A73" s="12" t="str">
        <x:v>URL-068</x:v>
      </x:c>
      <x:c r="B73" s="12" t="str">
        <x:v>/bir/citizen-approval</x:v>
      </x:c>
      <x:c r="C73" s="12" t="str">
        <x:v>admin, bir, super_admin</x:v>
      </x:c>
      <x:c r="D73" s="12" t="str">
        <x:v>Page</x:v>
      </x:c>
      <x:c r="E73" s="12" t="str">
        <x:v>PAGE-001 to PAGE-008</x:v>
      </x:c>
      <x:c r="F73" s="12" t="str">
        <x:v>Navigation; API access; controls; responsive UI; loading; branding; export; timing.</x:v>
      </x:c>
      <x:c r="G73" s="14" t="str">
        <x:v>Not Run</x:v>
      </x:c>
      <x:c r="H73" s="14" t="str"/>
      <x:c r="I73" s="14" t="str"/>
      <x:c r="J73" s="14" t="str"/>
      <x:c r="K73" s="14" t="str"/>
    </x:row>
    <x:row r="74" ht="70" customHeight="1">
      <x:c r="A74" s="11" t="str">
        <x:v>URL-069</x:v>
      </x:c>
      <x:c r="B74" s="11" t="str">
        <x:v>/bir/transactions</x:v>
      </x:c>
      <x:c r="C74" s="11" t="str">
        <x:v>admin, bir, super_admin</x:v>
      </x:c>
      <x:c r="D74" s="11" t="str">
        <x:v>Page</x:v>
      </x:c>
      <x:c r="E74" s="11" t="str">
        <x:v>PAGE-001 to PAGE-008</x:v>
      </x:c>
      <x:c r="F74" s="11" t="str">
        <x:v>Navigation; API access; controls; responsive UI; loading; branding; export; timing.</x:v>
      </x:c>
      <x:c r="G74" s="14" t="str">
        <x:v>Not Run</x:v>
      </x:c>
      <x:c r="H74" s="14" t="str"/>
      <x:c r="I74" s="14" t="str"/>
      <x:c r="J74" s="14" t="str"/>
      <x:c r="K74" s="14" t="str"/>
    </x:row>
    <x:row r="75" ht="70" customHeight="1">
      <x:c r="A75" s="12" t="str">
        <x:v>URL-070</x:v>
      </x:c>
      <x:c r="B75" s="12" t="str">
        <x:v>/bir/business-accounts</x:v>
      </x:c>
      <x:c r="C75" s="12" t="str">
        <x:v>admin, bir, super_admin</x:v>
      </x:c>
      <x:c r="D75" s="12" t="str">
        <x:v>Page</x:v>
      </x:c>
      <x:c r="E75" s="12" t="str">
        <x:v>PAGE-001 to PAGE-008</x:v>
      </x:c>
      <x:c r="F75" s="12" t="str">
        <x:v>Navigation; API access; controls; responsive UI; loading; branding; export; timing.</x:v>
      </x:c>
      <x:c r="G75" s="14" t="str">
        <x:v>Not Run</x:v>
      </x:c>
      <x:c r="H75" s="14" t="str"/>
      <x:c r="I75" s="14" t="str"/>
      <x:c r="J75" s="14" t="str"/>
      <x:c r="K75" s="14" t="str"/>
    </x:row>
    <x:row r="76" ht="70" customHeight="1">
      <x:c r="A76" s="11" t="str">
        <x:v>URL-071</x:v>
      </x:c>
      <x:c r="B76" s="11" t="str">
        <x:v>/bir/compliance</x:v>
      </x:c>
      <x:c r="C76" s="11" t="str">
        <x:v>admin, bir, super_admin</x:v>
      </x:c>
      <x:c r="D76" s="11" t="str">
        <x:v>Page</x:v>
      </x:c>
      <x:c r="E76" s="11" t="str">
        <x:v>PAGE-001 to PAGE-008</x:v>
      </x:c>
      <x:c r="F76" s="11" t="str">
        <x:v>Navigation; API access; controls; responsive UI; loading; branding; export; timing.</x:v>
      </x:c>
      <x:c r="G76" s="14" t="str">
        <x:v>Not Run</x:v>
      </x:c>
      <x:c r="H76" s="14" t="str"/>
      <x:c r="I76" s="14" t="str"/>
      <x:c r="J76" s="14" t="str"/>
      <x:c r="K76" s="14" t="str"/>
    </x:row>
    <x:row r="77" ht="70" customHeight="1">
      <x:c r="A77" s="12" t="str">
        <x:v>URL-072</x:v>
      </x:c>
      <x:c r="B77" s="12" t="str">
        <x:v>/bir/reports</x:v>
      </x:c>
      <x:c r="C77" s="12" t="str">
        <x:v>admin, bir, super_admin</x:v>
      </x:c>
      <x:c r="D77" s="12" t="str">
        <x:v>Page</x:v>
      </x:c>
      <x:c r="E77" s="12" t="str">
        <x:v>PAGE-001 to PAGE-008</x:v>
      </x:c>
      <x:c r="F77" s="12" t="str">
        <x:v>Navigation; API access; controls; responsive UI; loading; branding; export; timing.</x:v>
      </x:c>
      <x:c r="G77" s="14" t="str">
        <x:v>Not Run</x:v>
      </x:c>
      <x:c r="H77" s="14" t="str"/>
      <x:c r="I77" s="14" t="str"/>
      <x:c r="J77" s="14" t="str"/>
      <x:c r="K77" s="14" t="str"/>
    </x:row>
    <x:row r="78" ht="70" customHeight="1">
      <x:c r="A78" s="11" t="str">
        <x:v>URL-073</x:v>
      </x:c>
      <x:c r="B78" s="11" t="str">
        <x:v>/bir/tax-filings</x:v>
      </x:c>
      <x:c r="C78" s="11" t="str">
        <x:v>admin, bir, super_admin</x:v>
      </x:c>
      <x:c r="D78" s="11" t="str">
        <x:v>Page</x:v>
      </x:c>
      <x:c r="E78" s="11" t="str">
        <x:v>PAGE-001 to PAGE-008</x:v>
      </x:c>
      <x:c r="F78" s="11" t="str">
        <x:v>Navigation; API access; controls; responsive UI; loading; branding; export; timing.</x:v>
      </x:c>
      <x:c r="G78" s="14" t="str">
        <x:v>Not Run</x:v>
      </x:c>
      <x:c r="H78" s="14" t="str"/>
      <x:c r="I78" s="14" t="str"/>
      <x:c r="J78" s="14" t="str"/>
      <x:c r="K78" s="14" t="str"/>
    </x:row>
    <x:row r="79" ht="70" customHeight="1">
      <x:c r="A79" s="12" t="str">
        <x:v>URL-074</x:v>
      </x:c>
      <x:c r="B79" s="12" t="str">
        <x:v>/bir/forecasts</x:v>
      </x:c>
      <x:c r="C79" s="12" t="str">
        <x:v>admin, bir, super_admin</x:v>
      </x:c>
      <x:c r="D79" s="12" t="str">
        <x:v>Page</x:v>
      </x:c>
      <x:c r="E79" s="12" t="str">
        <x:v>PAGE-001 to PAGE-008</x:v>
      </x:c>
      <x:c r="F79" s="12" t="str">
        <x:v>Navigation; API access; controls; responsive UI; loading; branding; export; timing.</x:v>
      </x:c>
      <x:c r="G79" s="14" t="str">
        <x:v>Not Run</x:v>
      </x:c>
      <x:c r="H79" s="14" t="str"/>
      <x:c r="I79" s="14" t="str"/>
      <x:c r="J79" s="14" t="str"/>
      <x:c r="K79" s="14" t="str"/>
    </x:row>
    <x:row r="80" ht="70" customHeight="1">
      <x:c r="A80" s="11" t="str">
        <x:v>URL-075</x:v>
      </x:c>
      <x:c r="B80" s="11" t="str">
        <x:v>/bir/tax-intelligence</x:v>
      </x:c>
      <x:c r="C80" s="11" t="str">
        <x:v>admin, bir, super_admin</x:v>
      </x:c>
      <x:c r="D80" s="11" t="str">
        <x:v>Page</x:v>
      </x:c>
      <x:c r="E80" s="11" t="str">
        <x:v>PAGE-001 to PAGE-008</x:v>
      </x:c>
      <x:c r="F80" s="11" t="str">
        <x:v>Navigation; API access; controls; responsive UI; loading; branding; export; timing.</x:v>
      </x:c>
      <x:c r="G80" s="14" t="str">
        <x:v>Not Run</x:v>
      </x:c>
      <x:c r="H80" s="14" t="str"/>
      <x:c r="I80" s="14" t="str"/>
      <x:c r="J80" s="14" t="str"/>
      <x:c r="K80" s="14" t="str"/>
    </x:row>
    <x:row r="81" ht="70" customHeight="1">
      <x:c r="A81" s="12" t="str">
        <x:v>URL-076</x:v>
      </x:c>
      <x:c r="B81" s="12" t="str">
        <x:v>/bir/vat-reconciliation</x:v>
      </x:c>
      <x:c r="C81" s="12" t="str">
        <x:v>admin, bir, super_admin</x:v>
      </x:c>
      <x:c r="D81" s="12" t="str">
        <x:v>Page</x:v>
      </x:c>
      <x:c r="E81" s="12" t="str">
        <x:v>PAGE-001 to PAGE-008</x:v>
      </x:c>
      <x:c r="F81" s="12" t="str">
        <x:v>Navigation; API access; controls; responsive UI; loading; branding; export; timing.</x:v>
      </x:c>
      <x:c r="G81" s="14" t="str">
        <x:v>Not Run</x:v>
      </x:c>
      <x:c r="H81" s="14" t="str"/>
      <x:c r="I81" s="14" t="str"/>
      <x:c r="J81" s="14" t="str"/>
      <x:c r="K81" s="14" t="str"/>
    </x:row>
    <x:row r="82" ht="70" customHeight="1">
      <x:c r="A82" s="11" t="str">
        <x:v>URL-077</x:v>
      </x:c>
      <x:c r="B82" s="11" t="str">
        <x:v>/bir/invoice-matching</x:v>
      </x:c>
      <x:c r="C82" s="11" t="str">
        <x:v>admin, bir, super_admin</x:v>
      </x:c>
      <x:c r="D82" s="11" t="str">
        <x:v>Page</x:v>
      </x:c>
      <x:c r="E82" s="11" t="str">
        <x:v>PAGE-001 to PAGE-008</x:v>
      </x:c>
      <x:c r="F82" s="11" t="str">
        <x:v>Navigation; API access; controls; responsive UI; loading; branding; export; timing.</x:v>
      </x:c>
      <x:c r="G82" s="14" t="str">
        <x:v>Not Run</x:v>
      </x:c>
      <x:c r="H82" s="14" t="str"/>
      <x:c r="I82" s="14" t="str"/>
      <x:c r="J82" s="14" t="str"/>
      <x:c r="K82" s="14" t="str"/>
    </x:row>
    <x:row r="83" ht="70" customHeight="1">
      <x:c r="A83" s="12" t="str">
        <x:v>URL-078</x:v>
      </x:c>
      <x:c r="B83" s="12" t="str">
        <x:v>/bir/network</x:v>
      </x:c>
      <x:c r="C83" s="12" t="str">
        <x:v>admin, bir, super_admin</x:v>
      </x:c>
      <x:c r="D83" s="12" t="str">
        <x:v>Page</x:v>
      </x:c>
      <x:c r="E83" s="12" t="str">
        <x:v>PAGE-001 to PAGE-008</x:v>
      </x:c>
      <x:c r="F83" s="12" t="str">
        <x:v>Navigation; API access; controls; responsive UI; loading; branding; export; timing.</x:v>
      </x:c>
      <x:c r="G83" s="14" t="str">
        <x:v>Not Run</x:v>
      </x:c>
      <x:c r="H83" s="14" t="str"/>
      <x:c r="I83" s="14" t="str"/>
      <x:c r="J83" s="14" t="str"/>
      <x:c r="K83" s="14" t="str"/>
    </x:row>
    <x:row r="84" ht="70" customHeight="1">
      <x:c r="A84" s="11" t="str">
        <x:v>URL-079</x:v>
      </x:c>
      <x:c r="B84" s="11" t="str">
        <x:v>/bir/risk-scoring</x:v>
      </x:c>
      <x:c r="C84" s="11" t="str">
        <x:v>admin, bir, super_admin</x:v>
      </x:c>
      <x:c r="D84" s="11" t="str">
        <x:v>Page</x:v>
      </x:c>
      <x:c r="E84" s="11" t="str">
        <x:v>PAGE-001 to PAGE-008</x:v>
      </x:c>
      <x:c r="F84" s="11" t="str">
        <x:v>Navigation; API access; controls; responsive UI; loading; branding; export; timing.</x:v>
      </x:c>
      <x:c r="G84" s="14" t="str">
        <x:v>Not Run</x:v>
      </x:c>
      <x:c r="H84" s="14" t="str"/>
      <x:c r="I84" s="14" t="str"/>
      <x:c r="J84" s="14" t="str"/>
      <x:c r="K84" s="14" t="str"/>
    </x:row>
    <x:row r="85" ht="70" customHeight="1">
      <x:c r="A85" s="12" t="str">
        <x:v>URL-080</x:v>
      </x:c>
      <x:c r="B85" s="12" t="str">
        <x:v>/bir/ai-audit</x:v>
      </x:c>
      <x:c r="C85" s="12" t="str">
        <x:v>admin, bir, super_admin</x:v>
      </x:c>
      <x:c r="D85" s="12" t="str">
        <x:v>Page</x:v>
      </x:c>
      <x:c r="E85" s="12" t="str">
        <x:v>PAGE-001 to PAGE-008</x:v>
      </x:c>
      <x:c r="F85" s="12" t="str">
        <x:v>Navigation; API access; controls; responsive UI; loading; branding; export; timing.</x:v>
      </x:c>
      <x:c r="G85" s="14" t="str">
        <x:v>Not Run</x:v>
      </x:c>
      <x:c r="H85" s="14" t="str"/>
      <x:c r="I85" s="14" t="str"/>
      <x:c r="J85" s="14" t="str"/>
      <x:c r="K85" s="14" t="str"/>
    </x:row>
    <x:row r="86" ht="70" customHeight="1">
      <x:c r="A86" s="11" t="str">
        <x:v>URL-081</x:v>
      </x:c>
      <x:c r="B86" s="11" t="str">
        <x:v>/bir/eis-readiness</x:v>
      </x:c>
      <x:c r="C86" s="11" t="str">
        <x:v>admin, bir, super_admin</x:v>
      </x:c>
      <x:c r="D86" s="11" t="str">
        <x:v>Page</x:v>
      </x:c>
      <x:c r="E86" s="11" t="str">
        <x:v>PAGE-001 to PAGE-008</x:v>
      </x:c>
      <x:c r="F86" s="11" t="str">
        <x:v>Navigation; API access; controls; responsive UI; loading; branding; export; timing.</x:v>
      </x:c>
      <x:c r="G86" s="14" t="str">
        <x:v>Not Run</x:v>
      </x:c>
      <x:c r="H86" s="14" t="str"/>
      <x:c r="I86" s="14" t="str"/>
      <x:c r="J86" s="14" t="str"/>
      <x:c r="K86" s="14" t="str"/>
    </x:row>
    <x:row r="87" ht="70" customHeight="1">
      <x:c r="A87" s="12" t="str">
        <x:v>URL-082</x:v>
      </x:c>
      <x:c r="B87" s="12" t="str">
        <x:v>/bir/eis-transmissions</x:v>
      </x:c>
      <x:c r="C87" s="12" t="str">
        <x:v>admin, bir, super_admin</x:v>
      </x:c>
      <x:c r="D87" s="12" t="str">
        <x:v>Page</x:v>
      </x:c>
      <x:c r="E87" s="12" t="str">
        <x:v>PAGE-001 to PAGE-008</x:v>
      </x:c>
      <x:c r="F87" s="12" t="str">
        <x:v>Navigation; API access; controls; responsive UI; loading; branding; export; timing.</x:v>
      </x:c>
      <x:c r="G87" s="14" t="str">
        <x:v>Not Run</x:v>
      </x:c>
      <x:c r="H87" s="14" t="str"/>
      <x:c r="I87" s="14" t="str"/>
      <x:c r="J87" s="14" t="str"/>
      <x:c r="K87" s="14" t="str"/>
    </x:row>
    <x:row r="88" ht="70" customHeight="1">
      <x:c r="A88" s="11" t="str">
        <x:v>URL-083</x:v>
      </x:c>
      <x:c r="B88" s="11" t="str">
        <x:v>/rdo</x:v>
      </x:c>
      <x:c r="C88" s="11" t="str">
        <x:v>rdo, bir, admin, super_admin</x:v>
      </x:c>
      <x:c r="D88" s="11" t="str">
        <x:v>Page</x:v>
      </x:c>
      <x:c r="E88" s="11" t="str">
        <x:v>PAGE-001 to PAGE-008</x:v>
      </x:c>
      <x:c r="F88" s="11" t="str">
        <x:v>Navigation; API access; controls; responsive UI; loading; branding; export; timing.</x:v>
      </x:c>
      <x:c r="G88" s="14" t="str">
        <x:v>Not Run</x:v>
      </x:c>
      <x:c r="H88" s="14" t="str"/>
      <x:c r="I88" s="14" t="str"/>
      <x:c r="J88" s="14" t="str"/>
      <x:c r="K88" s="14" t="str"/>
    </x:row>
    <x:row r="89" ht="70" customHeight="1">
      <x:c r="A89" s="12" t="str">
        <x:v>URL-084</x:v>
      </x:c>
      <x:c r="B89" s="12" t="str">
        <x:v>/merchant</x:v>
      </x:c>
      <x:c r="C89" s="12" t="str">
        <x:v>merchant, admin, super_admin</x:v>
      </x:c>
      <x:c r="D89" s="12" t="str">
        <x:v>Page</x:v>
      </x:c>
      <x:c r="E89" s="12" t="str">
        <x:v>PAGE-001 to PAGE-008</x:v>
      </x:c>
      <x:c r="F89" s="12" t="str">
        <x:v>Navigation; API access; controls; responsive UI; loading; branding; export; timing.</x:v>
      </x:c>
      <x:c r="G89" s="14" t="str">
        <x:v>Not Run</x:v>
      </x:c>
      <x:c r="H89" s="14" t="str"/>
      <x:c r="I89" s="14" t="str"/>
      <x:c r="J89" s="14" t="str"/>
      <x:c r="K89" s="14" t="str"/>
    </x:row>
    <x:row r="90" ht="70" customHeight="1">
      <x:c r="A90" s="11" t="str">
        <x:v>URL-085</x:v>
      </x:c>
      <x:c r="B90" s="11" t="str">
        <x:v>/merchant/transactions</x:v>
      </x:c>
      <x:c r="C90" s="11" t="str">
        <x:v>merchant, admin, super_admin</x:v>
      </x:c>
      <x:c r="D90" s="11" t="str">
        <x:v>Page</x:v>
      </x:c>
      <x:c r="E90" s="11" t="str">
        <x:v>PAGE-001 to PAGE-008</x:v>
      </x:c>
      <x:c r="F90" s="11" t="str">
        <x:v>Navigation; API access; controls; responsive UI; loading; branding; export; timing.</x:v>
      </x:c>
      <x:c r="G90" s="14" t="str">
        <x:v>Not Run</x:v>
      </x:c>
      <x:c r="H90" s="14" t="str"/>
      <x:c r="I90" s="14" t="str"/>
      <x:c r="J90" s="14" t="str"/>
      <x:c r="K90" s="14" t="str"/>
    </x:row>
    <x:row r="91" ht="70" customHeight="1">
      <x:c r="A91" s="12" t="str">
        <x:v>URL-086</x:v>
      </x:c>
      <x:c r="B91" s="12" t="str">
        <x:v>/merchant/receipts</x:v>
      </x:c>
      <x:c r="C91" s="12" t="str">
        <x:v>merchant, admin, super_admin</x:v>
      </x:c>
      <x:c r="D91" s="12" t="str">
        <x:v>Page</x:v>
      </x:c>
      <x:c r="E91" s="12" t="str">
        <x:v>PAGE-001 to PAGE-008</x:v>
      </x:c>
      <x:c r="F91" s="12" t="str">
        <x:v>Navigation; API access; controls; responsive UI; loading; branding; export; timing.</x:v>
      </x:c>
      <x:c r="G91" s="14" t="str">
        <x:v>Not Run</x:v>
      </x:c>
      <x:c r="H91" s="14" t="str"/>
      <x:c r="I91" s="14" t="str"/>
      <x:c r="J91" s="14" t="str"/>
      <x:c r="K91" s="14" t="str"/>
    </x:row>
    <x:row r="92" ht="70" customHeight="1">
      <x:c r="A92" s="11" t="str">
        <x:v>URL-087</x:v>
      </x:c>
      <x:c r="B92" s="11" t="str">
        <x:v>/merchant/sales-reports</x:v>
      </x:c>
      <x:c r="C92" s="11" t="str">
        <x:v>merchant, admin, super_admin</x:v>
      </x:c>
      <x:c r="D92" s="11" t="str">
        <x:v>Page</x:v>
      </x:c>
      <x:c r="E92" s="11" t="str">
        <x:v>PAGE-001 to PAGE-008</x:v>
      </x:c>
      <x:c r="F92" s="11" t="str">
        <x:v>Navigation; API access; controls; responsive UI; loading; branding; export; timing.</x:v>
      </x:c>
      <x:c r="G92" s="14" t="str">
        <x:v>Not Run</x:v>
      </x:c>
      <x:c r="H92" s="14" t="str"/>
      <x:c r="I92" s="14" t="str"/>
      <x:c r="J92" s="14" t="str"/>
      <x:c r="K92" s="14" t="str"/>
    </x:row>
    <x:row r="93" ht="70" customHeight="1">
      <x:c r="A93" s="12" t="str">
        <x:v>URL-088</x:v>
      </x:c>
      <x:c r="B93" s="12" t="str">
        <x:v>/merchant/vat-reports</x:v>
      </x:c>
      <x:c r="C93" s="12" t="str">
        <x:v>merchant, admin, super_admin</x:v>
      </x:c>
      <x:c r="D93" s="12" t="str">
        <x:v>Redirect</x:v>
      </x:c>
      <x:c r="E93" s="12" t="str">
        <x:v>/merchant/sales-reports</x:v>
      </x:c>
      <x:c r="F93" s="12" t="str">
        <x:v>Expected redirect, authentication and destination scope.</x:v>
      </x:c>
      <x:c r="G93" s="14" t="str">
        <x:v>Not Run</x:v>
      </x:c>
      <x:c r="H93" s="14" t="str"/>
      <x:c r="I93" s="14" t="str"/>
      <x:c r="J93" s="14" t="str"/>
      <x:c r="K93" s="14" t="str"/>
    </x:row>
    <x:row r="94" ht="70" customHeight="1">
      <x:c r="A94" s="11" t="str">
        <x:v>URL-089</x:v>
      </x:c>
      <x:c r="B94" s="11" t="str">
        <x:v>/merchant/wallet</x:v>
      </x:c>
      <x:c r="C94" s="11" t="str">
        <x:v>merchant, admin, super_admin</x:v>
      </x:c>
      <x:c r="D94" s="11" t="str">
        <x:v>Page</x:v>
      </x:c>
      <x:c r="E94" s="11" t="str">
        <x:v>PAGE-001 to PAGE-008</x:v>
      </x:c>
      <x:c r="F94" s="11" t="str">
        <x:v>Navigation; API access; controls; responsive UI; loading; branding; export; timing.</x:v>
      </x:c>
      <x:c r="G94" s="14" t="str">
        <x:v>Not Run</x:v>
      </x:c>
      <x:c r="H94" s="14" t="str"/>
      <x:c r="I94" s="14" t="str"/>
      <x:c r="J94" s="14" t="str"/>
      <x:c r="K94" s="14" t="str"/>
    </x:row>
    <x:row r="95" ht="70" customHeight="1">
      <x:c r="A95" s="12" t="str">
        <x:v>URL-090</x:v>
      </x:c>
      <x:c r="B95" s="12" t="str">
        <x:v>/merchant/compliance-operations</x:v>
      </x:c>
      <x:c r="C95" s="12" t="str">
        <x:v>merchant, admin, super_admin</x:v>
      </x:c>
      <x:c r="D95" s="12" t="str">
        <x:v>Page</x:v>
      </x:c>
      <x:c r="E95" s="12" t="str">
        <x:v>PAGE-001 to PAGE-008</x:v>
      </x:c>
      <x:c r="F95" s="12" t="str">
        <x:v>Navigation; API access; controls; responsive UI; loading; branding; export; timing.</x:v>
      </x:c>
      <x:c r="G95" s="14" t="str">
        <x:v>Not Run</x:v>
      </x:c>
      <x:c r="H95" s="14" t="str"/>
      <x:c r="I95" s="14" t="str"/>
      <x:c r="J95" s="14" t="str"/>
      <x:c r="K95" s="14" t="str"/>
    </x:row>
    <x:row r="96" ht="70" customHeight="1">
      <x:c r="A96" s="11" t="str">
        <x:v>URL-091</x:v>
      </x:c>
      <x:c r="B96" s="11" t="str">
        <x:v>/merchant/users</x:v>
      </x:c>
      <x:c r="C96" s="11" t="str">
        <x:v>merchant, admin, super_admin</x:v>
      </x:c>
      <x:c r="D96" s="11" t="str">
        <x:v>Page</x:v>
      </x:c>
      <x:c r="E96" s="11" t="str">
        <x:v>PAGE-001 to PAGE-008</x:v>
      </x:c>
      <x:c r="F96" s="11" t="str">
        <x:v>Navigation; API access; controls; responsive UI; loading; branding; export; timing.</x:v>
      </x:c>
      <x:c r="G96" s="14" t="str">
        <x:v>Not Run</x:v>
      </x:c>
      <x:c r="H96" s="14" t="str"/>
      <x:c r="I96" s="14" t="str"/>
      <x:c r="J96" s="14" t="str"/>
      <x:c r="K96" s="14" t="str"/>
    </x:row>
    <x:row r="97" ht="70" customHeight="1">
      <x:c r="A97" s="12" t="str">
        <x:v>URL-092</x:v>
      </x:c>
      <x:c r="B97" s="12" t="str">
        <x:v>/merchant/security</x:v>
      </x:c>
      <x:c r="C97" s="12" t="str">
        <x:v>merchant, admin, super_admin</x:v>
      </x:c>
      <x:c r="D97" s="12" t="str">
        <x:v>Page</x:v>
      </x:c>
      <x:c r="E97" s="12" t="str">
        <x:v>PAGE-001 to PAGE-008</x:v>
      </x:c>
      <x:c r="F97" s="12" t="str">
        <x:v>Navigation; API access; controls; responsive UI; loading; branding; export; timing.</x:v>
      </x:c>
      <x:c r="G97" s="14" t="str">
        <x:v>Not Run</x:v>
      </x:c>
      <x:c r="H97" s="14" t="str"/>
      <x:c r="I97" s="14" t="str"/>
      <x:c r="J97" s="14" t="str"/>
      <x:c r="K97" s="14" t="str"/>
    </x:row>
    <x:row r="98" ht="70" customHeight="1">
      <x:c r="A98" s="11" t="str">
        <x:v>URL-093</x:v>
      </x:c>
      <x:c r="B98" s="11" t="str">
        <x:v>/merchant/billing</x:v>
      </x:c>
      <x:c r="C98" s="11" t="str">
        <x:v>merchant, admin, super_admin</x:v>
      </x:c>
      <x:c r="D98" s="11" t="str">
        <x:v>Page</x:v>
      </x:c>
      <x:c r="E98" s="11" t="str">
        <x:v>PAGE-001 to PAGE-008</x:v>
      </x:c>
      <x:c r="F98" s="11" t="str">
        <x:v>Navigation; API access; controls; responsive UI; loading; branding; export; timing.</x:v>
      </x:c>
      <x:c r="G98" s="14" t="str">
        <x:v>Not Run</x:v>
      </x:c>
      <x:c r="H98" s="14" t="str"/>
      <x:c r="I98" s="14" t="str"/>
      <x:c r="J98" s="14" t="str"/>
      <x:c r="K98" s="14" t="str"/>
    </x:row>
    <x:row r="99" ht="70" customHeight="1">
      <x:c r="A99" s="12" t="str">
        <x:v>URL-094</x:v>
      </x:c>
      <x:c r="B99" s="12" t="str">
        <x:v>/merchant/pos-settings</x:v>
      </x:c>
      <x:c r="C99" s="12" t="str">
        <x:v>merchant, admin, super_admin</x:v>
      </x:c>
      <x:c r="D99" s="12" t="str">
        <x:v>Page</x:v>
      </x:c>
      <x:c r="E99" s="12" t="str">
        <x:v>PAGE-001 to PAGE-008</x:v>
      </x:c>
      <x:c r="F99" s="12" t="str">
        <x:v>Navigation; API access; controls; responsive UI; loading; branding; export; timing.</x:v>
      </x:c>
      <x:c r="G99" s="14" t="str">
        <x:v>Not Run</x:v>
      </x:c>
      <x:c r="H99" s="14" t="str"/>
      <x:c r="I99" s="14" t="str"/>
      <x:c r="J99" s="14" t="str"/>
      <x:c r="K99" s="14" t="str"/>
    </x:row>
    <x:row r="100" ht="70" customHeight="1">
      <x:c r="A100" s="11" t="str">
        <x:v>URL-095</x:v>
      </x:c>
      <x:c r="B100" s="11" t="str">
        <x:v>/merchant/api-keys</x:v>
      </x:c>
      <x:c r="C100" s="11" t="str">
        <x:v>merchant, admin, super_admin</x:v>
      </x:c>
      <x:c r="D100" s="11" t="str">
        <x:v>Page</x:v>
      </x:c>
      <x:c r="E100" s="11" t="str">
        <x:v>PAGE-001 to PAGE-008</x:v>
      </x:c>
      <x:c r="F100" s="11" t="str">
        <x:v>Navigation; API access; controls; responsive UI; loading; branding; export; timing.</x:v>
      </x:c>
      <x:c r="G100" s="14" t="str">
        <x:v>Not Run</x:v>
      </x:c>
      <x:c r="H100" s="14" t="str"/>
      <x:c r="I100" s="14" t="str"/>
      <x:c r="J100" s="14" t="str"/>
      <x:c r="K100" s="14" t="str"/>
    </x:row>
    <x:row r="101" ht="70" customHeight="1">
      <x:c r="A101" s="12" t="str">
        <x:v>URL-096</x:v>
      </x:c>
      <x:c r="B101" s="12" t="str">
        <x:v>/merchant/profile</x:v>
      </x:c>
      <x:c r="C101" s="12" t="str">
        <x:v>merchant, admin, super_admin</x:v>
      </x:c>
      <x:c r="D101" s="12" t="str">
        <x:v>Page</x:v>
      </x:c>
      <x:c r="E101" s="12" t="str">
        <x:v>PAGE-001 to PAGE-008</x:v>
      </x:c>
      <x:c r="F101" s="12" t="str">
        <x:v>Navigation; API access; controls; responsive UI; loading; branding; export; timing.</x:v>
      </x:c>
      <x:c r="G101" s="14" t="str">
        <x:v>Not Run</x:v>
      </x:c>
      <x:c r="H101" s="14" t="str"/>
      <x:c r="I101" s="14" t="str"/>
      <x:c r="J101" s="14" t="str"/>
      <x:c r="K101" s="14" t="str"/>
    </x:row>
    <x:row r="102" ht="70" customHeight="1">
      <x:c r="A102" s="11" t="str">
        <x:v>URL-097</x:v>
      </x:c>
      <x:c r="B102" s="11" t="str">
        <x:v>/merchant/branches</x:v>
      </x:c>
      <x:c r="C102" s="11" t="str">
        <x:v>merchant, admin, super_admin</x:v>
      </x:c>
      <x:c r="D102" s="11" t="str">
        <x:v>Redirect</x:v>
      </x:c>
      <x:c r="E102" s="11" t="str">
        <x:v>/merchant/api-keys</x:v>
      </x:c>
      <x:c r="F102" s="11" t="str">
        <x:v>Expected redirect, authentication and destination scope.</x:v>
      </x:c>
      <x:c r="G102" s="14" t="str">
        <x:v>Not Run</x:v>
      </x:c>
      <x:c r="H102" s="14" t="str"/>
      <x:c r="I102" s="14" t="str"/>
      <x:c r="J102" s="14" t="str"/>
      <x:c r="K102" s="14" t="str"/>
    </x:row>
    <x:row r="103" ht="70" customHeight="1">
      <x:c r="A103" s="12" t="str">
        <x:v>URL-098</x:v>
      </x:c>
      <x:c r="B103" s="12" t="str">
        <x:v>/merchant/pti-applications</x:v>
      </x:c>
      <x:c r="C103" s="12" t="str">
        <x:v>merchant, admin, super_admin</x:v>
      </x:c>
      <x:c r="D103" s="12" t="str">
        <x:v>Page</x:v>
      </x:c>
      <x:c r="E103" s="12" t="str">
        <x:v>PAGE-001 to PAGE-008</x:v>
      </x:c>
      <x:c r="F103" s="12" t="str">
        <x:v>Navigation; API access; controls; responsive UI; loading; branding; export; timing.</x:v>
      </x:c>
      <x:c r="G103" s="14" t="str">
        <x:v>Not Run</x:v>
      </x:c>
      <x:c r="H103" s="14" t="str"/>
      <x:c r="I103" s="14" t="str"/>
      <x:c r="J103" s="14" t="str"/>
      <x:c r="K103" s="14" t="str"/>
    </x:row>
    <x:row r="104" ht="70" customHeight="1">
      <x:c r="A104" s="11" t="str">
        <x:v>URL-099</x:v>
      </x:c>
      <x:c r="B104" s="11" t="str">
        <x:v>/merchant/customers</x:v>
      </x:c>
      <x:c r="C104" s="11" t="str">
        <x:v>merchant, admin, super_admin</x:v>
      </x:c>
      <x:c r="D104" s="11" t="str">
        <x:v>Page</x:v>
      </x:c>
      <x:c r="E104" s="11" t="str">
        <x:v>PAGE-001 to PAGE-008</x:v>
      </x:c>
      <x:c r="F104" s="11" t="str">
        <x:v>Navigation; API access; controls; responsive UI; loading; branding; export; timing.</x:v>
      </x:c>
      <x:c r="G104" s="14" t="str">
        <x:v>Not Run</x:v>
      </x:c>
      <x:c r="H104" s="14" t="str"/>
      <x:c r="I104" s="14" t="str"/>
      <x:c r="J104" s="14" t="str"/>
      <x:c r="K104" s="14" t="str"/>
    </x:row>
    <x:row r="105" ht="70" customHeight="1">
      <x:c r="A105" s="12" t="str">
        <x:v>URL-100</x:v>
      </x:c>
      <x:c r="B105" s="12" t="str">
        <x:v>/merchant/notifications</x:v>
      </x:c>
      <x:c r="C105" s="12" t="str">
        <x:v>merchant, admin, super_admin</x:v>
      </x:c>
      <x:c r="D105" s="12" t="str">
        <x:v>Page</x:v>
      </x:c>
      <x:c r="E105" s="12" t="str">
        <x:v>PAGE-001 to PAGE-008</x:v>
      </x:c>
      <x:c r="F105" s="12" t="str">
        <x:v>Navigation; API access; controls; responsive UI; loading; branding; export; timing.</x:v>
      </x:c>
      <x:c r="G105" s="14" t="str">
        <x:v>Not Run</x:v>
      </x:c>
      <x:c r="H105" s="14" t="str"/>
      <x:c r="I105" s="14" t="str"/>
      <x:c r="J105" s="14" t="str"/>
      <x:c r="K105" s="14" t="str"/>
    </x:row>
    <x:row r="106" ht="70" customHeight="1">
      <x:c r="A106" s="11" t="str">
        <x:v>URL-101</x:v>
      </x:c>
      <x:c r="B106" s="11" t="str">
        <x:v>/merchant/expenses</x:v>
      </x:c>
      <x:c r="C106" s="11" t="str">
        <x:v>merchant, admin, super_admin</x:v>
      </x:c>
      <x:c r="D106" s="11" t="str">
        <x:v>Page</x:v>
      </x:c>
      <x:c r="E106" s="11" t="str">
        <x:v>PAGE-001 to PAGE-008</x:v>
      </x:c>
      <x:c r="F106" s="11" t="str">
        <x:v>Navigation; API access; controls; responsive UI; loading; branding; export; timing.</x:v>
      </x:c>
      <x:c r="G106" s="14" t="str">
        <x:v>Not Run</x:v>
      </x:c>
      <x:c r="H106" s="14" t="str"/>
      <x:c r="I106" s="14" t="str"/>
      <x:c r="J106" s="14" t="str"/>
      <x:c r="K106" s="14" t="str"/>
    </x:row>
    <x:row r="107" ht="70" customHeight="1">
      <x:c r="A107" s="12" t="str">
        <x:v>URL-102</x:v>
      </x:c>
      <x:c r="B107" s="12" t="str">
        <x:v>/merchant/invoices</x:v>
      </x:c>
      <x:c r="C107" s="12" t="str">
        <x:v>merchant, admin, super_admin</x:v>
      </x:c>
      <x:c r="D107" s="12" t="str">
        <x:v>Page</x:v>
      </x:c>
      <x:c r="E107" s="12" t="str">
        <x:v>PAGE-001 to PAGE-008</x:v>
      </x:c>
      <x:c r="F107" s="12" t="str">
        <x:v>Navigation; API access; controls; responsive UI; loading; branding; export; timing.</x:v>
      </x:c>
      <x:c r="G107" s="14" t="str">
        <x:v>Not Run</x:v>
      </x:c>
      <x:c r="H107" s="14" t="str"/>
      <x:c r="I107" s="14" t="str"/>
      <x:c r="J107" s="14" t="str"/>
      <x:c r="K107" s="14" t="str"/>
    </x:row>
    <x:row r="108" ht="70" customHeight="1">
      <x:c r="A108" s="11" t="str">
        <x:v>URL-103</x:v>
      </x:c>
      <x:c r="B108" s="11" t="str">
        <x:v>/merchant/b2b-tax</x:v>
      </x:c>
      <x:c r="C108" s="11" t="str">
        <x:v>merchant, admin, super_admin</x:v>
      </x:c>
      <x:c r="D108" s="11" t="str">
        <x:v>Redirect</x:v>
      </x:c>
      <x:c r="E108" s="11" t="str">
        <x:v>/merchant/sales-reports</x:v>
      </x:c>
      <x:c r="F108" s="11" t="str">
        <x:v>Expected redirect, authentication and destination scope.</x:v>
      </x:c>
      <x:c r="G108" s="14" t="str">
        <x:v>Not Run</x:v>
      </x:c>
      <x:c r="H108" s="14" t="str"/>
      <x:c r="I108" s="14" t="str"/>
      <x:c r="J108" s="14" t="str"/>
      <x:c r="K108" s="14" t="str"/>
    </x:row>
    <x:row r="109" ht="70" customHeight="1">
      <x:c r="A109" s="12" t="str">
        <x:v>URL-104</x:v>
      </x:c>
      <x:c r="B109" s="12" t="str">
        <x:v>/merchant/output-vat</x:v>
      </x:c>
      <x:c r="C109" s="12" t="str">
        <x:v>merchant, admin, super_admin</x:v>
      </x:c>
      <x:c r="D109" s="12" t="str">
        <x:v>Redirect</x:v>
      </x:c>
      <x:c r="E109" s="12" t="str">
        <x:v>/merchant/sales-reports</x:v>
      </x:c>
      <x:c r="F109" s="12" t="str">
        <x:v>Expected redirect, authentication and destination scope.</x:v>
      </x:c>
      <x:c r="G109" s="14" t="str">
        <x:v>Not Run</x:v>
      </x:c>
      <x:c r="H109" s="14" t="str"/>
      <x:c r="I109" s="14" t="str"/>
      <x:c r="J109" s="14" t="str"/>
      <x:c r="K109" s="14" t="str"/>
    </x:row>
    <x:row r="110" ht="70" customHeight="1">
      <x:c r="A110" s="11" t="str">
        <x:v>URL-105</x:v>
      </x:c>
      <x:c r="B110" s="11" t="str">
        <x:v>/merchant/input-vat</x:v>
      </x:c>
      <x:c r="C110" s="11" t="str">
        <x:v>merchant, admin, super_admin</x:v>
      </x:c>
      <x:c r="D110" s="11" t="str">
        <x:v>Redirect</x:v>
      </x:c>
      <x:c r="E110" s="11" t="str">
        <x:v>/merchant/sales-reports</x:v>
      </x:c>
      <x:c r="F110" s="11" t="str">
        <x:v>Expected redirect, authentication and destination scope.</x:v>
      </x:c>
      <x:c r="G110" s="14" t="str">
        <x:v>Not Run</x:v>
      </x:c>
      <x:c r="H110" s="14" t="str"/>
      <x:c r="I110" s="14" t="str"/>
      <x:c r="J110" s="14" t="str"/>
      <x:c r="K110" s="14" t="str"/>
    </x:row>
    <x:row r="111" ht="70" customHeight="1">
      <x:c r="A111" s="12" t="str">
        <x:v>URL-106</x:v>
      </x:c>
      <x:c r="B111" s="12" t="str">
        <x:v>/merchant/invoice-matching</x:v>
      </x:c>
      <x:c r="C111" s="12" t="str">
        <x:v>merchant, admin, super_admin</x:v>
      </x:c>
      <x:c r="D111" s="12" t="str">
        <x:v>Redirect</x:v>
      </x:c>
      <x:c r="E111" s="12" t="str">
        <x:v>/merchant/sales-reports</x:v>
      </x:c>
      <x:c r="F111" s="12" t="str">
        <x:v>Expected redirect, authentication and destination scope.</x:v>
      </x:c>
      <x:c r="G111" s="14" t="str">
        <x:v>Not Run</x:v>
      </x:c>
      <x:c r="H111" s="14" t="str"/>
      <x:c r="I111" s="14" t="str"/>
      <x:c r="J111" s="14" t="str"/>
      <x:c r="K111" s="14" t="str"/>
    </x:row>
    <x:row r="112" ht="70" customHeight="1">
      <x:c r="A112" s="11" t="str">
        <x:v>URL-107</x:v>
      </x:c>
      <x:c r="B112" s="11" t="str">
        <x:v>/merchant/withholding-tax</x:v>
      </x:c>
      <x:c r="C112" s="11" t="str">
        <x:v>merchant, admin, super_admin</x:v>
      </x:c>
      <x:c r="D112" s="11" t="str">
        <x:v>Redirect</x:v>
      </x:c>
      <x:c r="E112" s="11" t="str">
        <x:v>/merchant/sales-reports</x:v>
      </x:c>
      <x:c r="F112" s="11" t="str">
        <x:v>Expected redirect, authentication and destination scope.</x:v>
      </x:c>
      <x:c r="G112" s="14" t="str">
        <x:v>Not Run</x:v>
      </x:c>
      <x:c r="H112" s="14" t="str"/>
      <x:c r="I112" s="14" t="str"/>
      <x:c r="J112" s="14" t="str"/>
      <x:c r="K112" s="14" t="str"/>
    </x:row>
    <x:row r="113" ht="70" customHeight="1">
      <x:c r="A113" s="12" t="str">
        <x:v>URL-108</x:v>
      </x:c>
      <x:c r="B113" s="12" t="str">
        <x:v>/merchant/suppliers</x:v>
      </x:c>
      <x:c r="C113" s="12" t="str">
        <x:v>merchant, admin, super_admin</x:v>
      </x:c>
      <x:c r="D113" s="12" t="str">
        <x:v>Redirect</x:v>
      </x:c>
      <x:c r="E113" s="12" t="str">
        <x:v>/merchant/sales-reports</x:v>
      </x:c>
      <x:c r="F113" s="12" t="str">
        <x:v>Expected redirect, authentication and destination scope.</x:v>
      </x:c>
      <x:c r="G113" s="14" t="str">
        <x:v>Not Run</x:v>
      </x:c>
      <x:c r="H113" s="14" t="str"/>
      <x:c r="I113" s="14" t="str"/>
      <x:c r="J113" s="14" t="str"/>
      <x:c r="K113" s="14" t="str"/>
    </x:row>
    <x:row r="114" ht="70" customHeight="1">
      <x:c r="A114" s="11" t="str">
        <x:v>URL-109</x:v>
      </x:c>
      <x:c r="B114" s="11" t="str">
        <x:v>/merchant/invoices/create</x:v>
      </x:c>
      <x:c r="C114" s="11" t="str">
        <x:v>merchant, admin, super_admin</x:v>
      </x:c>
      <x:c r="D114" s="11" t="str">
        <x:v>Page</x:v>
      </x:c>
      <x:c r="E114" s="11" t="str">
        <x:v>PAGE-001 to PAGE-008</x:v>
      </x:c>
      <x:c r="F114" s="11" t="str">
        <x:v>Navigation; API access; controls; responsive UI; loading; branding; export; timing.</x:v>
      </x:c>
      <x:c r="G114" s="14" t="str">
        <x:v>Not Run</x:v>
      </x:c>
      <x:c r="H114" s="14" t="str"/>
      <x:c r="I114" s="14" t="str"/>
      <x:c r="J114" s="14" t="str"/>
      <x:c r="K114" s="14" t="str"/>
    </x:row>
    <x:row r="115" ht="70" customHeight="1">
      <x:c r="A115" s="12" t="str">
        <x:v>URL-110</x:v>
      </x:c>
      <x:c r="B115" s="12" t="str">
        <x:v>/merchant/invoices/recurring</x:v>
      </x:c>
      <x:c r="C115" s="12" t="str">
        <x:v>merchant, admin, super_admin</x:v>
      </x:c>
      <x:c r="D115" s="12" t="str">
        <x:v>Redirect</x:v>
      </x:c>
      <x:c r="E115" s="12" t="str">
        <x:v>/merchant/invoices</x:v>
      </x:c>
      <x:c r="F115" s="12" t="str">
        <x:v>Expected redirect, authentication and destination scope.</x:v>
      </x:c>
      <x:c r="G115" s="14" t="str">
        <x:v>Not Run</x:v>
      </x:c>
      <x:c r="H115" s="14" t="str"/>
      <x:c r="I115" s="14" t="str"/>
      <x:c r="J115" s="14" t="str"/>
      <x:c r="K115" s="14" t="str"/>
    </x:row>
    <x:row r="116" ht="70" customHeight="1">
      <x:c r="A116" s="11" t="str">
        <x:v>URL-111</x:v>
      </x:c>
      <x:c r="B116" s="11" t="str">
        <x:v>/merchant/invoices/bulk</x:v>
      </x:c>
      <x:c r="C116" s="11" t="str">
        <x:v>merchant, admin, super_admin</x:v>
      </x:c>
      <x:c r="D116" s="11" t="str">
        <x:v>Redirect</x:v>
      </x:c>
      <x:c r="E116" s="11" t="str">
        <x:v>/merchant/invoices</x:v>
      </x:c>
      <x:c r="F116" s="11" t="str">
        <x:v>Expected redirect, authentication and destination scope.</x:v>
      </x:c>
      <x:c r="G116" s="14" t="str">
        <x:v>Not Run</x:v>
      </x:c>
      <x:c r="H116" s="14" t="str"/>
      <x:c r="I116" s="14" t="str"/>
      <x:c r="J116" s="14" t="str"/>
      <x:c r="K116" s="14" t="str"/>
    </x:row>
    <x:row r="117" ht="70" customHeight="1">
      <x:c r="A117" s="12" t="str">
        <x:v>URL-112</x:v>
      </x:c>
      <x:c r="B117" s="12" t="str">
        <x:v>/merchant/invoices/:id</x:v>
      </x:c>
      <x:c r="C117" s="12" t="str">
        <x:v>merchant, admin, super_admin</x:v>
      </x:c>
      <x:c r="D117" s="12" t="str">
        <x:v>Page</x:v>
      </x:c>
      <x:c r="E117" s="12" t="str">
        <x:v>PAGE-001 to PAGE-008</x:v>
      </x:c>
      <x:c r="F117" s="12" t="str">
        <x:v>Navigation; API access; controls; responsive UI; loading; branding; export; timing.</x:v>
      </x:c>
      <x:c r="G117" s="14" t="str">
        <x:v>Not Run</x:v>
      </x:c>
      <x:c r="H117" s="14" t="str"/>
      <x:c r="I117" s="14" t="str"/>
      <x:c r="J117" s="14" t="str"/>
      <x:c r="K117" s="14" t="str"/>
    </x:row>
    <x:row r="118" ht="70" customHeight="1">
      <x:c r="A118" s="11" t="str">
        <x:v>URL-113</x:v>
      </x:c>
      <x:c r="B118" s="11" t="str">
        <x:v>/admin</x:v>
      </x:c>
      <x:c r="C118" s="11" t="str">
        <x:v>admin, super_admin</x:v>
      </x:c>
      <x:c r="D118" s="11" t="str">
        <x:v>Page</x:v>
      </x:c>
      <x:c r="E118" s="11" t="str">
        <x:v>PAGE-001 to PAGE-008</x:v>
      </x:c>
      <x:c r="F118" s="11" t="str">
        <x:v>Navigation; API access; controls; responsive UI; loading; branding; export; timing.</x:v>
      </x:c>
      <x:c r="G118" s="14" t="str">
        <x:v>Not Run</x:v>
      </x:c>
      <x:c r="H118" s="14" t="str"/>
      <x:c r="I118" s="14" t="str"/>
      <x:c r="J118" s="14" t="str"/>
      <x:c r="K118" s="14" t="str"/>
    </x:row>
    <x:row r="119" ht="70" customHeight="1">
      <x:c r="A119" s="12" t="str">
        <x:v>URL-114</x:v>
      </x:c>
      <x:c r="B119" s="12" t="str">
        <x:v>/admin/transactions</x:v>
      </x:c>
      <x:c r="C119" s="12" t="str">
        <x:v>admin, super_admin</x:v>
      </x:c>
      <x:c r="D119" s="12" t="str">
        <x:v>Page</x:v>
      </x:c>
      <x:c r="E119" s="12" t="str">
        <x:v>PAGE-001 to PAGE-008</x:v>
      </x:c>
      <x:c r="F119" s="12" t="str">
        <x:v>Navigation; API access; controls; responsive UI; loading; branding; export; timing.</x:v>
      </x:c>
      <x:c r="G119" s="14" t="str">
        <x:v>Not Run</x:v>
      </x:c>
      <x:c r="H119" s="14" t="str"/>
      <x:c r="I119" s="14" t="str"/>
      <x:c r="J119" s="14" t="str"/>
      <x:c r="K119" s="14" t="str"/>
    </x:row>
    <x:row r="120" ht="70" customHeight="1">
      <x:c r="A120" s="11" t="str">
        <x:v>URL-115</x:v>
      </x:c>
      <x:c r="B120" s="11" t="str">
        <x:v>/admin/fraud</x:v>
      </x:c>
      <x:c r="C120" s="11" t="str">
        <x:v>admin, super_admin</x:v>
      </x:c>
      <x:c r="D120" s="11" t="str">
        <x:v>Page</x:v>
      </x:c>
      <x:c r="E120" s="11" t="str">
        <x:v>PAGE-001 to PAGE-008</x:v>
      </x:c>
      <x:c r="F120" s="11" t="str">
        <x:v>Navigation; API access; controls; responsive UI; loading; branding; export; timing.</x:v>
      </x:c>
      <x:c r="G120" s="14" t="str">
        <x:v>Not Run</x:v>
      </x:c>
      <x:c r="H120" s="14" t="str"/>
      <x:c r="I120" s="14" t="str"/>
      <x:c r="J120" s="14" t="str"/>
      <x:c r="K120" s="14" t="str"/>
    </x:row>
    <x:row r="121" ht="70" customHeight="1">
      <x:c r="A121" s="12" t="str">
        <x:v>URL-116</x:v>
      </x:c>
      <x:c r="B121" s="12" t="str">
        <x:v>/admin/merchants</x:v>
      </x:c>
      <x:c r="C121" s="12" t="str">
        <x:v>admin, super_admin</x:v>
      </x:c>
      <x:c r="D121" s="12" t="str">
        <x:v>Page</x:v>
      </x:c>
      <x:c r="E121" s="12" t="str">
        <x:v>PAGE-001 to PAGE-008</x:v>
      </x:c>
      <x:c r="F121" s="12" t="str">
        <x:v>Navigation; API access; controls; responsive UI; loading; branding; export; timing.</x:v>
      </x:c>
      <x:c r="G121" s="14" t="str">
        <x:v>Not Run</x:v>
      </x:c>
      <x:c r="H121" s="14" t="str"/>
      <x:c r="I121" s="14" t="str"/>
      <x:c r="J121" s="14" t="str"/>
      <x:c r="K121" s="14" t="str"/>
    </x:row>
    <x:row r="122" ht="70" customHeight="1">
      <x:c r="A122" s="11" t="str">
        <x:v>URL-117</x:v>
      </x:c>
      <x:c r="B122" s="11" t="str">
        <x:v>/admin/tax-filings</x:v>
      </x:c>
      <x:c r="C122" s="11" t="str">
        <x:v>admin, super_admin</x:v>
      </x:c>
      <x:c r="D122" s="11" t="str">
        <x:v>Page</x:v>
      </x:c>
      <x:c r="E122" s="11" t="str">
        <x:v>PAGE-001 to PAGE-008</x:v>
      </x:c>
      <x:c r="F122" s="11" t="str">
        <x:v>Navigation; API access; controls; responsive UI; loading; branding; export; timing.</x:v>
      </x:c>
      <x:c r="G122" s="14" t="str">
        <x:v>Not Run</x:v>
      </x:c>
      <x:c r="H122" s="14" t="str"/>
      <x:c r="I122" s="14" t="str"/>
      <x:c r="J122" s="14" t="str"/>
      <x:c r="K122" s="14" t="str"/>
    </x:row>
    <x:row r="123" ht="70" customHeight="1">
      <x:c r="A123" s="12" t="str">
        <x:v>URL-118</x:v>
      </x:c>
      <x:c r="B123" s="12" t="str">
        <x:v>/admin/compliance</x:v>
      </x:c>
      <x:c r="C123" s="12" t="str">
        <x:v>admin, super_admin</x:v>
      </x:c>
      <x:c r="D123" s="12" t="str">
        <x:v>Page</x:v>
      </x:c>
      <x:c r="E123" s="12" t="str">
        <x:v>PAGE-001 to PAGE-008</x:v>
      </x:c>
      <x:c r="F123" s="12" t="str">
        <x:v>Navigation; API access; controls; responsive UI; loading; branding; export; timing.</x:v>
      </x:c>
      <x:c r="G123" s="14" t="str">
        <x:v>Not Run</x:v>
      </x:c>
      <x:c r="H123" s="14" t="str"/>
      <x:c r="I123" s="14" t="str"/>
      <x:c r="J123" s="14" t="str"/>
      <x:c r="K123" s="14" t="str"/>
    </x:row>
    <x:row r="124" ht="70" customHeight="1">
      <x:c r="A124" s="11" t="str">
        <x:v>URL-119</x:v>
      </x:c>
      <x:c r="B124" s="11" t="str">
        <x:v>/admin/audit</x:v>
      </x:c>
      <x:c r="C124" s="11" t="str">
        <x:v>admin, super_admin</x:v>
      </x:c>
      <x:c r="D124" s="11" t="str">
        <x:v>Page</x:v>
      </x:c>
      <x:c r="E124" s="11" t="str">
        <x:v>PAGE-001 to PAGE-008</x:v>
      </x:c>
      <x:c r="F124" s="11" t="str">
        <x:v>Navigation; API access; controls; responsive UI; loading; branding; export; timing.</x:v>
      </x:c>
      <x:c r="G124" s="14" t="str">
        <x:v>Not Run</x:v>
      </x:c>
      <x:c r="H124" s="14" t="str"/>
      <x:c r="I124" s="14" t="str"/>
      <x:c r="J124" s="14" t="str"/>
      <x:c r="K124" s="14" t="str"/>
    </x:row>
    <x:row r="125" ht="70" customHeight="1">
      <x:c r="A125" s="12" t="str">
        <x:v>URL-120</x:v>
      </x:c>
      <x:c r="B125" s="12" t="str">
        <x:v>/admin/users</x:v>
      </x:c>
      <x:c r="C125" s="12" t="str">
        <x:v>admin, super_admin</x:v>
      </x:c>
      <x:c r="D125" s="12" t="str">
        <x:v>Page</x:v>
      </x:c>
      <x:c r="E125" s="12" t="str">
        <x:v>PAGE-001 to PAGE-008</x:v>
      </x:c>
      <x:c r="F125" s="12" t="str">
        <x:v>Navigation; API access; controls; responsive UI; loading; branding; export; timing.</x:v>
      </x:c>
      <x:c r="G125" s="14" t="str">
        <x:v>Not Run</x:v>
      </x:c>
      <x:c r="H125" s="14" t="str"/>
      <x:c r="I125" s="14" t="str"/>
      <x:c r="J125" s="14" t="str"/>
      <x:c r="K125" s="14" t="str"/>
    </x:row>
    <x:row r="126" ht="70" customHeight="1">
      <x:c r="A126" s="11" t="str">
        <x:v>URL-121</x:v>
      </x:c>
      <x:c r="B126" s="11" t="str">
        <x:v>/admin/notifications</x:v>
      </x:c>
      <x:c r="C126" s="11" t="str">
        <x:v>admin, super_admin</x:v>
      </x:c>
      <x:c r="D126" s="11" t="str">
        <x:v>Page</x:v>
      </x:c>
      <x:c r="E126" s="11" t="str">
        <x:v>PAGE-001 to PAGE-008</x:v>
      </x:c>
      <x:c r="F126" s="11" t="str">
        <x:v>Navigation; API access; controls; responsive UI; loading; branding; export; timing.</x:v>
      </x:c>
      <x:c r="G126" s="14" t="str">
        <x:v>Not Run</x:v>
      </x:c>
      <x:c r="H126" s="14" t="str"/>
      <x:c r="I126" s="14" t="str"/>
      <x:c r="J126" s="14" t="str"/>
      <x:c r="K126" s="14" t="str"/>
    </x:row>
    <x:row r="127" ht="70" customHeight="1">
      <x:c r="A127" s="12" t="str">
        <x:v>URL-122</x:v>
      </x:c>
      <x:c r="B127" s="12" t="str">
        <x:v>/admin/reports</x:v>
      </x:c>
      <x:c r="C127" s="12" t="str">
        <x:v>admin, super_admin</x:v>
      </x:c>
      <x:c r="D127" s="12" t="str">
        <x:v>Page</x:v>
      </x:c>
      <x:c r="E127" s="12" t="str">
        <x:v>PAGE-001 to PAGE-008</x:v>
      </x:c>
      <x:c r="F127" s="12" t="str">
        <x:v>Navigation; API access; controls; responsive UI; loading; branding; export; timing.</x:v>
      </x:c>
      <x:c r="G127" s="14" t="str">
        <x:v>Not Run</x:v>
      </x:c>
      <x:c r="H127" s="14" t="str"/>
      <x:c r="I127" s="14" t="str"/>
      <x:c r="J127" s="14" t="str"/>
      <x:c r="K127" s="14" t="str"/>
    </x:row>
    <x:row r="128" ht="70" customHeight="1">
      <x:c r="A128" s="11" t="str">
        <x:v>URL-123</x:v>
      </x:c>
      <x:c r="B128" s="11" t="str">
        <x:v>/consumer</x:v>
      </x:c>
      <x:c r="C128" s="11" t="str">
        <x:v>Authenticated; verify resource policy</x:v>
      </x:c>
      <x:c r="D128" s="11" t="str">
        <x:v>Page</x:v>
      </x:c>
      <x:c r="E128" s="11" t="str">
        <x:v>PAGE-001 to PAGE-008</x:v>
      </x:c>
      <x:c r="F128" s="11" t="str">
        <x:v>Navigation; API access; controls; responsive UI; loading; branding; export; timing.</x:v>
      </x:c>
      <x:c r="G128" s="14" t="str">
        <x:v>Not Run</x:v>
      </x:c>
      <x:c r="H128" s="14" t="str"/>
      <x:c r="I128" s="14" t="str"/>
      <x:c r="J128" s="14" t="str"/>
      <x:c r="K128" s="14" t="str"/>
    </x:row>
    <x:row r="129" ht="70" customHeight="1">
      <x:c r="A129" s="12" t="str">
        <x:v>URL-124</x:v>
      </x:c>
      <x:c r="B129" s="12" t="str">
        <x:v>/client</x:v>
      </x:c>
      <x:c r="C129" s="12" t="str">
        <x:v>client, consumer, admin, super_admin</x:v>
      </x:c>
      <x:c r="D129" s="12" t="str">
        <x:v>Page</x:v>
      </x:c>
      <x:c r="E129" s="12" t="str">
        <x:v>PAGE-001 to PAGE-008</x:v>
      </x:c>
      <x:c r="F129" s="12" t="str">
        <x:v>Navigation; API access; controls; responsive UI; loading; branding; export; timing.</x:v>
      </x:c>
      <x:c r="G129" s="14" t="str">
        <x:v>Not Run</x:v>
      </x:c>
      <x:c r="H129" s="14" t="str"/>
      <x:c r="I129" s="14" t="str"/>
      <x:c r="J129" s="14" t="str"/>
      <x:c r="K129" s="14" t="str"/>
    </x:row>
    <x:row r="130" ht="70" customHeight="1">
      <x:c r="A130" s="11" t="str">
        <x:v>URL-125</x:v>
      </x:c>
      <x:c r="B130" s="11" t="str">
        <x:v>/client/transactions</x:v>
      </x:c>
      <x:c r="C130" s="11" t="str">
        <x:v>client, consumer, admin, super_admin</x:v>
      </x:c>
      <x:c r="D130" s="11" t="str">
        <x:v>Page</x:v>
      </x:c>
      <x:c r="E130" s="11" t="str">
        <x:v>PAGE-001 to PAGE-008</x:v>
      </x:c>
      <x:c r="F130" s="11" t="str">
        <x:v>Navigation; API access; controls; responsive UI; loading; branding; export; timing.</x:v>
      </x:c>
      <x:c r="G130" s="14" t="str">
        <x:v>Not Run</x:v>
      </x:c>
      <x:c r="H130" s="14" t="str"/>
      <x:c r="I130" s="14" t="str"/>
      <x:c r="J130" s="14" t="str"/>
      <x:c r="K130" s="14" t="str"/>
    </x:row>
    <x:row r="131" ht="70" customHeight="1">
      <x:c r="A131" s="12" t="str">
        <x:v>URL-126</x:v>
      </x:c>
      <x:c r="B131" s="12" t="str">
        <x:v>/client/receipts</x:v>
      </x:c>
      <x:c r="C131" s="12" t="str">
        <x:v>client, consumer, admin, super_admin</x:v>
      </x:c>
      <x:c r="D131" s="12" t="str">
        <x:v>Page</x:v>
      </x:c>
      <x:c r="E131" s="12" t="str">
        <x:v>PAGE-001 to PAGE-008</x:v>
      </x:c>
      <x:c r="F131" s="12" t="str">
        <x:v>Navigation; API access; controls; responsive UI; loading; branding; export; timing.</x:v>
      </x:c>
      <x:c r="G131" s="14" t="str">
        <x:v>Not Run</x:v>
      </x:c>
      <x:c r="H131" s="14" t="str"/>
      <x:c r="I131" s="14" t="str"/>
      <x:c r="J131" s="14" t="str"/>
      <x:c r="K131" s="14" t="str"/>
    </x:row>
    <x:row r="132" ht="70" customHeight="1">
      <x:c r="A132" s="11" t="str">
        <x:v>URL-127</x:v>
      </x:c>
      <x:c r="B132" s="11" t="str">
        <x:v>/client/barcode</x:v>
      </x:c>
      <x:c r="C132" s="11" t="str">
        <x:v>client, consumer, admin, super_admin</x:v>
      </x:c>
      <x:c r="D132" s="11" t="str">
        <x:v>Page</x:v>
      </x:c>
      <x:c r="E132" s="11" t="str">
        <x:v>PAGE-001 to PAGE-008</x:v>
      </x:c>
      <x:c r="F132" s="11" t="str">
        <x:v>Navigation; API access; controls; responsive UI; loading; branding; export; timing.</x:v>
      </x:c>
      <x:c r="G132" s="14" t="str">
        <x:v>Not Run</x:v>
      </x:c>
      <x:c r="H132" s="14" t="str"/>
      <x:c r="I132" s="14" t="str"/>
      <x:c r="J132" s="14" t="str"/>
      <x:c r="K132" s="14" t="str"/>
    </x:row>
    <x:row r="133" ht="70" customHeight="1">
      <x:c r="A133" s="12" t="str">
        <x:v>URL-128</x:v>
      </x:c>
      <x:c r="B133" s="12" t="str">
        <x:v>/client/wallet</x:v>
      </x:c>
      <x:c r="C133" s="12" t="str">
        <x:v>client, consumer, admin, super_admin</x:v>
      </x:c>
      <x:c r="D133" s="12" t="str">
        <x:v>Page</x:v>
      </x:c>
      <x:c r="E133" s="12" t="str">
        <x:v>PAGE-001 to PAGE-008</x:v>
      </x:c>
      <x:c r="F133" s="12" t="str">
        <x:v>Navigation; API access; controls; responsive UI; loading; branding; export; timing.</x:v>
      </x:c>
      <x:c r="G133" s="14" t="str">
        <x:v>Not Run</x:v>
      </x:c>
      <x:c r="H133" s="14" t="str"/>
      <x:c r="I133" s="14" t="str"/>
      <x:c r="J133" s="14" t="str"/>
      <x:c r="K133" s="14" t="str"/>
    </x:row>
    <x:row r="134" ht="70" customHeight="1">
      <x:c r="A134" s="11" t="str">
        <x:v>URL-129</x:v>
      </x:c>
      <x:c r="B134" s="11" t="str">
        <x:v>/client/notifications</x:v>
      </x:c>
      <x:c r="C134" s="11" t="str">
        <x:v>client, consumer, admin, super_admin</x:v>
      </x:c>
      <x:c r="D134" s="11" t="str">
        <x:v>Page</x:v>
      </x:c>
      <x:c r="E134" s="11" t="str">
        <x:v>PAGE-001 to PAGE-008</x:v>
      </x:c>
      <x:c r="F134" s="11" t="str">
        <x:v>Navigation; API access; controls; responsive UI; loading; branding; export; timing.</x:v>
      </x:c>
      <x:c r="G134" s="14" t="str">
        <x:v>Not Run</x:v>
      </x:c>
      <x:c r="H134" s="14" t="str"/>
      <x:c r="I134" s="14" t="str"/>
      <x:c r="J134" s="14" t="str"/>
      <x:c r="K134" s="14" t="str"/>
    </x:row>
    <x:row r="135" ht="70" customHeight="1">
      <x:c r="A135" s="12" t="str">
        <x:v>URL-130</x:v>
      </x:c>
      <x:c r="B135" s="12" t="str">
        <x:v>/client/security</x:v>
      </x:c>
      <x:c r="C135" s="12" t="str">
        <x:v>client, consumer, admin, super_admin</x:v>
      </x:c>
      <x:c r="D135" s="12" t="str">
        <x:v>Page</x:v>
      </x:c>
      <x:c r="E135" s="12" t="str">
        <x:v>PAGE-001 to PAGE-008</x:v>
      </x:c>
      <x:c r="F135" s="12" t="str">
        <x:v>Navigation; API access; controls; responsive UI; loading; branding; export; timing.</x:v>
      </x:c>
      <x:c r="G135" s="14" t="str">
        <x:v>Not Run</x:v>
      </x:c>
      <x:c r="H135" s="14" t="str"/>
      <x:c r="I135" s="14" t="str"/>
      <x:c r="J135" s="14" t="str"/>
      <x:c r="K135" s="14" t="str"/>
    </x:row>
    <x:row r="136" ht="70" customHeight="1">
      <x:c r="A136" s="11" t="str">
        <x:v>URL-131</x:v>
      </x:c>
      <x:c r="B136" s="11" t="str">
        <x:v>/client/profile</x:v>
      </x:c>
      <x:c r="C136" s="11" t="str">
        <x:v>client, consumer, admin, super_admin</x:v>
      </x:c>
      <x:c r="D136" s="11" t="str">
        <x:v>Page</x:v>
      </x:c>
      <x:c r="E136" s="11" t="str">
        <x:v>PAGE-001 to PAGE-008</x:v>
      </x:c>
      <x:c r="F136" s="11" t="str">
        <x:v>Navigation; API access; controls; responsive UI; loading; branding; export; timing.</x:v>
      </x:c>
      <x:c r="G136" s="14" t="str">
        <x:v>Not Run</x:v>
      </x:c>
      <x:c r="H136" s="14" t="str"/>
      <x:c r="I136" s="14" t="str"/>
      <x:c r="J136" s="14" t="str"/>
      <x:c r="K136" s="14" t="str"/>
    </x:row>
    <x:row r="137" ht="70" customHeight="1">
      <x:c r="A137" s="12" t="str">
        <x:v>URL-132</x:v>
      </x:c>
      <x:c r="B137" s="12" t="str">
        <x:v>/api</x:v>
      </x:c>
      <x:c r="C137" s="12" t="str">
        <x:v>Authenticated; verify resource policy</x:v>
      </x:c>
      <x:c r="D137" s="12" t="str">
        <x:v>Page</x:v>
      </x:c>
      <x:c r="E137" s="12" t="str">
        <x:v>PAGE-001 to PAGE-008</x:v>
      </x:c>
      <x:c r="F137" s="12" t="str">
        <x:v>Navigation; API access; controls; responsive UI; loading; branding; export; timing.</x:v>
      </x:c>
      <x:c r="G137" s="14" t="str">
        <x:v>Not Run</x:v>
      </x:c>
      <x:c r="H137" s="14" t="str"/>
      <x:c r="I137" s="14" t="str"/>
      <x:c r="J137" s="14" t="str"/>
      <x:c r="K137" s="14" t="str"/>
    </x:row>
    <x:row r="138" ht="70" customHeight="1">
      <x:c r="A138" s="11" t="str">
        <x:v>URL-133</x:v>
      </x:c>
      <x:c r="B138" s="11" t="str">
        <x:v>/api/keys</x:v>
      </x:c>
      <x:c r="C138" s="11" t="str">
        <x:v>Authenticated; verify resource policy</x:v>
      </x:c>
      <x:c r="D138" s="11" t="str">
        <x:v>Page</x:v>
      </x:c>
      <x:c r="E138" s="11" t="str">
        <x:v>PAGE-001 to PAGE-008</x:v>
      </x:c>
      <x:c r="F138" s="11" t="str">
        <x:v>Navigation; API access; controls; responsive UI; loading; branding; export; timing.</x:v>
      </x:c>
      <x:c r="G138" s="14" t="str">
        <x:v>Not Run</x:v>
      </x:c>
      <x:c r="H138" s="14" t="str"/>
      <x:c r="I138" s="14" t="str"/>
      <x:c r="J138" s="14" t="str"/>
      <x:c r="K138" s="14" t="str"/>
    </x:row>
    <x:row r="139" ht="70" customHeight="1">
      <x:c r="A139" s="12" t="str">
        <x:v>URL-134</x:v>
      </x:c>
      <x:c r="B139" s="12" t="str">
        <x:v>/api/webhooks</x:v>
      </x:c>
      <x:c r="C139" s="12" t="str">
        <x:v>Authenticated; verify resource policy</x:v>
      </x:c>
      <x:c r="D139" s="12" t="str">
        <x:v>Page</x:v>
      </x:c>
      <x:c r="E139" s="12" t="str">
        <x:v>PAGE-001 to PAGE-008</x:v>
      </x:c>
      <x:c r="F139" s="12" t="str">
        <x:v>Navigation; API access; controls; responsive UI; loading; branding; export; timing.</x:v>
      </x:c>
      <x:c r="G139" s="14" t="str">
        <x:v>Not Run</x:v>
      </x:c>
      <x:c r="H139" s="14" t="str"/>
      <x:c r="I139" s="14" t="str"/>
      <x:c r="J139" s="14" t="str"/>
      <x:c r="K139" s="14" t="str"/>
    </x:row>
    <x:row r="140" ht="70" customHeight="1">
      <x:c r="A140" s="11" t="str">
        <x:v>URL-135</x:v>
      </x:c>
      <x:c r="B140" s="11" t="str">
        <x:v>/api/sdks</x:v>
      </x:c>
      <x:c r="C140" s="11" t="str">
        <x:v>Authenticated; verify resource policy</x:v>
      </x:c>
      <x:c r="D140" s="11" t="str">
        <x:v>Page</x:v>
      </x:c>
      <x:c r="E140" s="11" t="str">
        <x:v>PAGE-001 to PAGE-008</x:v>
      </x:c>
      <x:c r="F140" s="11" t="str">
        <x:v>Navigation; API access; controls; responsive UI; loading; branding; export; timing.</x:v>
      </x:c>
      <x:c r="G140" s="14" t="str">
        <x:v>Not Run</x:v>
      </x:c>
      <x:c r="H140" s="14" t="str"/>
      <x:c r="I140" s="14" t="str"/>
      <x:c r="J140" s="14" t="str"/>
      <x:c r="K140" s="14" t="str"/>
    </x:row>
    <x:row r="141" ht="70" customHeight="1">
      <x:c r="A141" s="12" t="str">
        <x:v>URL-136</x:v>
      </x:c>
      <x:c r="B141" s="12" t="str">
        <x:v>/api/guides</x:v>
      </x:c>
      <x:c r="C141" s="12" t="str">
        <x:v>Authenticated; verify resource policy</x:v>
      </x:c>
      <x:c r="D141" s="12" t="str">
        <x:v>Page</x:v>
      </x:c>
      <x:c r="E141" s="12" t="str">
        <x:v>PAGE-001 to PAGE-008</x:v>
      </x:c>
      <x:c r="F141" s="12" t="str">
        <x:v>Navigation; API access; controls; responsive UI; loading; branding; export; timing.</x:v>
      </x:c>
      <x:c r="G141" s="14" t="str">
        <x:v>Not Run</x:v>
      </x:c>
      <x:c r="H141" s="14" t="str"/>
      <x:c r="I141" s="14" t="str"/>
      <x:c r="J141" s="14" t="str"/>
      <x:c r="K141" s="14" t="str"/>
    </x:row>
    <x:row r="142" ht="70" customHeight="1">
      <x:c r="A142" s="11" t="str">
        <x:v>URL-137</x:v>
      </x:c>
      <x:c r="B142" s="11" t="str">
        <x:v>/api/monitoring</x:v>
      </x:c>
      <x:c r="C142" s="11" t="str">
        <x:v>Authenticated; verify resource policy</x:v>
      </x:c>
      <x:c r="D142" s="11" t="str">
        <x:v>Page</x:v>
      </x:c>
      <x:c r="E142" s="11" t="str">
        <x:v>PAGE-001 to PAGE-008</x:v>
      </x:c>
      <x:c r="F142" s="11" t="str">
        <x:v>Navigation; API access; controls; responsive UI; loading; branding; export; timing.</x:v>
      </x:c>
      <x:c r="G142" s="14" t="str">
        <x:v>Not Run</x:v>
      </x:c>
      <x:c r="H142" s="14" t="str"/>
      <x:c r="I142" s="14" t="str"/>
      <x:c r="J142" s="14" t="str"/>
      <x:c r="K142" s="14" t="str"/>
    </x:row>
    <x:row r="143" ht="70" customHeight="1">
      <x:c r="A143" s="12" t="str">
        <x:v>URL-138</x:v>
      </x:c>
      <x:c r="B143" s="12" t="str">
        <x:v>/api/eis</x:v>
      </x:c>
      <x:c r="C143" s="12" t="str">
        <x:v>Authenticated; verify resource policy</x:v>
      </x:c>
      <x:c r="D143" s="12" t="str">
        <x:v>Page</x:v>
      </x:c>
      <x:c r="E143" s="12" t="str">
        <x:v>PAGE-001 to PAGE-008</x:v>
      </x:c>
      <x:c r="F143" s="12" t="str">
        <x:v>Navigation; API access; controls; responsive UI; loading; branding; export; timing.</x:v>
      </x:c>
      <x:c r="G143" s="14" t="str">
        <x:v>Not Run</x:v>
      </x:c>
      <x:c r="H143" s="14" t="str"/>
      <x:c r="I143" s="14" t="str"/>
      <x:c r="J143" s="14" t="str"/>
      <x:c r="K143" s="14" t="str"/>
    </x:row>
    <x:row r="144" ht="70" customHeight="1">
      <x:c r="A144" s="11" t="str">
        <x:v>URL-139</x:v>
      </x:c>
      <x:c r="B144" s="11" t="str">
        <x:v>/api/eis/transmissions</x:v>
      </x:c>
      <x:c r="C144" s="11" t="str">
        <x:v>Authenticated; verify resource policy</x:v>
      </x:c>
      <x:c r="D144" s="11" t="str">
        <x:v>Page</x:v>
      </x:c>
      <x:c r="E144" s="11" t="str">
        <x:v>PAGE-001 to PAGE-008</x:v>
      </x:c>
      <x:c r="F144" s="11" t="str">
        <x:v>Navigation; API access; controls; responsive UI; loading; branding; export; timing.</x:v>
      </x:c>
      <x:c r="G144" s="14" t="str">
        <x:v>Not Run</x:v>
      </x:c>
      <x:c r="H144" s="14" t="str"/>
      <x:c r="I144" s="14" t="str"/>
      <x:c r="J144" s="14" t="str"/>
      <x:c r="K144" s="14" t="str"/>
    </x:row>
    <x:row r="145" ht="70" customHeight="1">
      <x:c r="A145" s="12" t="str">
        <x:v>URL-140</x:v>
      </x:c>
      <x:c r="B145" s="12" t="str">
        <x:v>/api/eis/performance</x:v>
      </x:c>
      <x:c r="C145" s="12" t="str">
        <x:v>Authenticated; verify resource policy</x:v>
      </x:c>
      <x:c r="D145" s="12" t="str">
        <x:v>Page</x:v>
      </x:c>
      <x:c r="E145" s="12" t="str">
        <x:v>PAGE-001 to PAGE-008</x:v>
      </x:c>
      <x:c r="F145" s="12" t="str">
        <x:v>Navigation; API access; controls; responsive UI; loading; branding; export; timing.</x:v>
      </x:c>
      <x:c r="G145" s="14" t="str">
        <x:v>Not Run</x:v>
      </x:c>
      <x:c r="H145" s="14" t="str"/>
      <x:c r="I145" s="14" t="str"/>
      <x:c r="J145" s="14" t="str"/>
      <x:c r="K145" s="14" t="str"/>
    </x:row>
    <x:row r="146" ht="70" customHeight="1">
      <x:c r="A146" s="11" t="str">
        <x:v>URL-141</x:v>
      </x:c>
      <x:c r="B146" s="11" t="str">
        <x:v>/api/eis/errors</x:v>
      </x:c>
      <x:c r="C146" s="11" t="str">
        <x:v>Authenticated; verify resource policy</x:v>
      </x:c>
      <x:c r="D146" s="11" t="str">
        <x:v>Page</x:v>
      </x:c>
      <x:c r="E146" s="11" t="str">
        <x:v>PAGE-001 to PAGE-008</x:v>
      </x:c>
      <x:c r="F146" s="11" t="str">
        <x:v>Navigation; API access; controls; responsive UI; loading; branding; export; timing.</x:v>
      </x:c>
      <x:c r="G146" s="14" t="str">
        <x:v>Not Run</x:v>
      </x:c>
      <x:c r="H146" s="14" t="str"/>
      <x:c r="I146" s="14" t="str"/>
      <x:c r="J146" s="14" t="str"/>
      <x:c r="K146" s="14" t="str"/>
    </x:row>
    <x:row r="147" ht="70" customHeight="1">
      <x:c r="A147" s="12" t="str">
        <x:v>URL-142</x:v>
      </x:c>
      <x:c r="B147" s="12" t="str">
        <x:v>/taxpayer</x:v>
      </x:c>
      <x:c r="C147" s="12" t="str">
        <x:v>admin, super_admin, bir</x:v>
      </x:c>
      <x:c r="D147" s="12" t="str">
        <x:v>Page</x:v>
      </x:c>
      <x:c r="E147" s="12" t="str">
        <x:v>PAGE-001 to PAGE-008</x:v>
      </x:c>
      <x:c r="F147" s="12" t="str">
        <x:v>Navigation; API access; controls; responsive UI; loading; branding; export; timing.</x:v>
      </x:c>
      <x:c r="G147" s="14" t="str">
        <x:v>Not Run</x:v>
      </x:c>
      <x:c r="H147" s="14" t="str"/>
      <x:c r="I147" s="14" t="str"/>
      <x:c r="J147" s="14" t="str"/>
      <x:c r="K147" s="14" t="str"/>
    </x:row>
    <x:row r="148" ht="70" customHeight="1">
      <x:c r="A148" s="11" t="str">
        <x:v>URL-143</x:v>
      </x:c>
      <x:c r="B148" s="11" t="str">
        <x:v>/taxpayer/registry</x:v>
      </x:c>
      <x:c r="C148" s="11" t="str">
        <x:v>admin, super_admin, bir</x:v>
      </x:c>
      <x:c r="D148" s="11" t="str">
        <x:v>Page</x:v>
      </x:c>
      <x:c r="E148" s="11" t="str">
        <x:v>PAGE-001 to PAGE-008</x:v>
      </x:c>
      <x:c r="F148" s="11" t="str">
        <x:v>Navigation; API access; controls; responsive UI; loading; branding; export; timing.</x:v>
      </x:c>
      <x:c r="G148" s="14" t="str">
        <x:v>Not Run</x:v>
      </x:c>
      <x:c r="H148" s="14" t="str"/>
      <x:c r="I148" s="14" t="str"/>
      <x:c r="J148" s="14" t="str"/>
      <x:c r="K148" s="14" t="str"/>
    </x:row>
    <x:row r="149" ht="70" customHeight="1">
      <x:c r="A149" s="12" t="str">
        <x:v>URL-144</x:v>
      </x:c>
      <x:c r="B149" s="12" t="str">
        <x:v>/taxpayer/businesses</x:v>
      </x:c>
      <x:c r="C149" s="12" t="str">
        <x:v>admin, super_admin, bir</x:v>
      </x:c>
      <x:c r="D149" s="12" t="str">
        <x:v>Page</x:v>
      </x:c>
      <x:c r="E149" s="12" t="str">
        <x:v>PAGE-001 to PAGE-008</x:v>
      </x:c>
      <x:c r="F149" s="12" t="str">
        <x:v>Navigation; API access; controls; responsive UI; loading; branding; export; timing.</x:v>
      </x:c>
      <x:c r="G149" s="14" t="str">
        <x:v>Not Run</x:v>
      </x:c>
      <x:c r="H149" s="14" t="str"/>
      <x:c r="I149" s="14" t="str"/>
      <x:c r="J149" s="14" t="str"/>
      <x:c r="K149" s="14" t="str"/>
    </x:row>
    <x:row r="150" ht="70" customHeight="1">
      <x:c r="A150" s="11" t="str">
        <x:v>URL-145</x:v>
      </x:c>
      <x:c r="B150" s="11" t="str">
        <x:v>/taxpayer/verification</x:v>
      </x:c>
      <x:c r="C150" s="11" t="str">
        <x:v>admin, super_admin, bir</x:v>
      </x:c>
      <x:c r="D150" s="11" t="str">
        <x:v>Page</x:v>
      </x:c>
      <x:c r="E150" s="11" t="str">
        <x:v>PAGE-001 to PAGE-008</x:v>
      </x:c>
      <x:c r="F150" s="11" t="str">
        <x:v>Navigation; API access; controls; responsive UI; loading; branding; export; timing.</x:v>
      </x:c>
      <x:c r="G150" s="14" t="str">
        <x:v>Not Run</x:v>
      </x:c>
      <x:c r="H150" s="14" t="str"/>
      <x:c r="I150" s="14" t="str"/>
      <x:c r="J150" s="14" t="str"/>
      <x:c r="K150" s="14" t="str"/>
    </x:row>
    <x:row r="151" ht="70" customHeight="1">
      <x:c r="A151" s="12" t="str">
        <x:v>URL-146</x:v>
      </x:c>
      <x:c r="B151" s="12" t="str">
        <x:v>/taxpayer/portal</x:v>
      </x:c>
      <x:c r="C151" s="12" t="str">
        <x:v>admin, super_admin, bir</x:v>
      </x:c>
      <x:c r="D151" s="12" t="str">
        <x:v>Page</x:v>
      </x:c>
      <x:c r="E151" s="12" t="str">
        <x:v>PAGE-001 to PAGE-008</x:v>
      </x:c>
      <x:c r="F151" s="12" t="str">
        <x:v>Navigation; API access; controls; responsive UI; loading; branding; export; timing.</x:v>
      </x:c>
      <x:c r="G151" s="14" t="str">
        <x:v>Not Run</x:v>
      </x:c>
      <x:c r="H151" s="14" t="str"/>
      <x:c r="I151" s="14" t="str"/>
      <x:c r="J151" s="14" t="str"/>
      <x:c r="K151" s="14" t="str"/>
    </x:row>
    <x:row r="152" ht="70" customHeight="1">
      <x:c r="A152" s="11" t="str">
        <x:v>URL-147</x:v>
      </x:c>
      <x:c r="B152" s="11" t="str">
        <x:v>/taxpayer/users</x:v>
      </x:c>
      <x:c r="C152" s="11" t="str">
        <x:v>admin, super_admin, bir</x:v>
      </x:c>
      <x:c r="D152" s="11" t="str">
        <x:v>Page</x:v>
      </x:c>
      <x:c r="E152" s="11" t="str">
        <x:v>PAGE-001 to PAGE-008</x:v>
      </x:c>
      <x:c r="F152" s="11" t="str">
        <x:v>Navigation; API access; controls; responsive UI; loading; branding; export; timing.</x:v>
      </x:c>
      <x:c r="G152" s="14" t="str">
        <x:v>Not Run</x:v>
      </x:c>
      <x:c r="H152" s="14" t="str"/>
      <x:c r="I152" s="14" t="str"/>
      <x:c r="J152" s="14" t="str"/>
      <x:c r="K152" s="14" t="str"/>
    </x:row>
    <x:row r="153" ht="70" customHeight="1">
      <x:c r="A153" s="12" t="str">
        <x:v>URL-148</x:v>
      </x:c>
      <x:c r="B153" s="12" t="str">
        <x:v>/engine</x:v>
      </x:c>
      <x:c r="C153" s="12" t="str">
        <x:v>admin, super_admin, bir</x:v>
      </x:c>
      <x:c r="D153" s="12" t="str">
        <x:v>Page</x:v>
      </x:c>
      <x:c r="E153" s="12" t="str">
        <x:v>PAGE-001 to PAGE-008</x:v>
      </x:c>
      <x:c r="F153" s="12" t="str">
        <x:v>Navigation; API access; controls; responsive UI; loading; branding; export; timing.</x:v>
      </x:c>
      <x:c r="G153" s="14" t="str">
        <x:v>Not Run</x:v>
      </x:c>
      <x:c r="H153" s="14" t="str"/>
      <x:c r="I153" s="14" t="str"/>
      <x:c r="J153" s="14" t="str"/>
      <x:c r="K153" s="14" t="str"/>
    </x:row>
    <x:row r="154" ht="70" customHeight="1">
      <x:c r="A154" s="11" t="str">
        <x:v>URL-149</x:v>
      </x:c>
      <x:c r="B154" s="11" t="str">
        <x:v>/eis</x:v>
      </x:c>
      <x:c r="C154" s="11" t="str">
        <x:v>Authenticated; verify resource policy</x:v>
      </x:c>
      <x:c r="D154" s="11" t="str">
        <x:v>Page</x:v>
      </x:c>
      <x:c r="E154" s="11" t="str">
        <x:v>PAGE-001 to PAGE-008</x:v>
      </x:c>
      <x:c r="F154" s="11" t="str">
        <x:v>Navigation; API access; controls; responsive UI; loading; branding; export; timing.</x:v>
      </x:c>
      <x:c r="G154" s="14" t="str">
        <x:v>Not Run</x:v>
      </x:c>
      <x:c r="H154" s="14" t="str"/>
      <x:c r="I154" s="14" t="str"/>
      <x:c r="J154" s="14" t="str"/>
      <x:c r="K154" s="14" t="str"/>
    </x:row>
    <x:row r="155" ht="70" customHeight="1">
      <x:c r="A155" s="12" t="str">
        <x:v>URL-150</x:v>
      </x:c>
      <x:c r="B155" s="12" t="str">
        <x:v>/eis/transmissions</x:v>
      </x:c>
      <x:c r="C155" s="12" t="str">
        <x:v>Authenticated; verify resource policy</x:v>
      </x:c>
      <x:c r="D155" s="12" t="str">
        <x:v>Page</x:v>
      </x:c>
      <x:c r="E155" s="12" t="str">
        <x:v>PAGE-001 to PAGE-008</x:v>
      </x:c>
      <x:c r="F155" s="12" t="str">
        <x:v>Navigation; API access; controls; responsive UI; loading; branding; export; timing.</x:v>
      </x:c>
      <x:c r="G155" s="14" t="str">
        <x:v>Not Run</x:v>
      </x:c>
      <x:c r="H155" s="14" t="str"/>
      <x:c r="I155" s="14" t="str"/>
      <x:c r="J155" s="14" t="str"/>
      <x:c r="K155" s="14" t="str"/>
    </x:row>
    <x:row r="156" ht="70" customHeight="1">
      <x:c r="A156" s="11" t="str">
        <x:v>URL-151</x:v>
      </x:c>
      <x:c r="B156" s="11" t="str">
        <x:v>/invoices</x:v>
      </x:c>
      <x:c r="C156" s="11" t="str">
        <x:v>Authenticated; verify resource policy</x:v>
      </x:c>
      <x:c r="D156" s="11" t="str">
        <x:v>Page</x:v>
      </x:c>
      <x:c r="E156" s="11" t="str">
        <x:v>PAGE-001 to PAGE-008</x:v>
      </x:c>
      <x:c r="F156" s="11" t="str">
        <x:v>Navigation; API access; controls; responsive UI; loading; branding; export; timing.</x:v>
      </x:c>
      <x:c r="G156" s="14" t="str">
        <x:v>Not Run</x:v>
      </x:c>
      <x:c r="H156" s="14" t="str"/>
      <x:c r="I156" s="14" t="str"/>
      <x:c r="J156" s="14" t="str"/>
      <x:c r="K156" s="14" t="str"/>
    </x:row>
    <x:row r="157" ht="70" customHeight="1">
      <x:c r="A157" s="12" t="str">
        <x:v>URL-152</x:v>
      </x:c>
      <x:c r="B157" s="12" t="str">
        <x:v>/monitoring</x:v>
      </x:c>
      <x:c r="C157" s="12" t="str">
        <x:v>admin, super_admin, bir</x:v>
      </x:c>
      <x:c r="D157" s="12" t="str">
        <x:v>Page</x:v>
      </x:c>
      <x:c r="E157" s="12" t="str">
        <x:v>PAGE-001 to PAGE-008</x:v>
      </x:c>
      <x:c r="F157" s="12" t="str">
        <x:v>Navigation; API access; controls; responsive UI; loading; branding; export; timing.</x:v>
      </x:c>
      <x:c r="G157" s="14" t="str">
        <x:v>Not Run</x:v>
      </x:c>
      <x:c r="H157" s="14" t="str"/>
      <x:c r="I157" s="14" t="str"/>
      <x:c r="J157" s="14" t="str"/>
      <x:c r="K157" s="14" t="str"/>
    </x:row>
    <x:row r="158" ht="70" customHeight="1">
      <x:c r="A158" s="11" t="str">
        <x:v>URL-153</x:v>
      </x:c>
      <x:c r="B158" s="11" t="str">
        <x:v>/compliance</x:v>
      </x:c>
      <x:c r="C158" s="11" t="str">
        <x:v>admin, super_admin, bir</x:v>
      </x:c>
      <x:c r="D158" s="11" t="str">
        <x:v>Page</x:v>
      </x:c>
      <x:c r="E158" s="11" t="str">
        <x:v>PAGE-001 to PAGE-008</x:v>
      </x:c>
      <x:c r="F158" s="11" t="str">
        <x:v>Navigation; API access; controls; responsive UI; loading; branding; export; timing.</x:v>
      </x:c>
      <x:c r="G158" s="14" t="str">
        <x:v>Not Run</x:v>
      </x:c>
      <x:c r="H158" s="14" t="str"/>
      <x:c r="I158" s="14" t="str"/>
      <x:c r="J158" s="14" t="str"/>
      <x:c r="K158" s="14" t="str"/>
    </x:row>
    <x:row r="159" ht="70" customHeight="1">
      <x:c r="A159" s="12" t="str">
        <x:v>URL-154</x:v>
      </x:c>
      <x:c r="B159" s="12" t="str">
        <x:v>/audit</x:v>
      </x:c>
      <x:c r="C159" s="12" t="str">
        <x:v>admin, super_admin, bir</x:v>
      </x:c>
      <x:c r="D159" s="12" t="str">
        <x:v>Page</x:v>
      </x:c>
      <x:c r="E159" s="12" t="str">
        <x:v>PAGE-001 to PAGE-008</x:v>
      </x:c>
      <x:c r="F159" s="12" t="str">
        <x:v>Navigation; API access; controls; responsive UI; loading; branding; export; timing.</x:v>
      </x:c>
      <x:c r="G159" s="14" t="str">
        <x:v>Not Run</x:v>
      </x:c>
      <x:c r="H159" s="14" t="str"/>
      <x:c r="I159" s="14" t="str"/>
      <x:c r="J159" s="14" t="str"/>
      <x:c r="K159" s="14" t="str"/>
    </x:row>
    <x:row r="160" ht="70" customHeight="1">
      <x:c r="A160" s="11" t="str">
        <x:v>URL-155</x:v>
      </x:c>
      <x:c r="B160" s="11" t="str">
        <x:v>/notifications</x:v>
      </x:c>
      <x:c r="C160" s="11" t="str">
        <x:v>admin, super_admin, bir</x:v>
      </x:c>
      <x:c r="D160" s="11" t="str">
        <x:v>Page</x:v>
      </x:c>
      <x:c r="E160" s="11" t="str">
        <x:v>PAGE-001 to PAGE-008</x:v>
      </x:c>
      <x:c r="F160" s="11" t="str">
        <x:v>Navigation; API access; controls; responsive UI; loading; branding; export; timing.</x:v>
      </x:c>
      <x:c r="G160" s="14" t="str">
        <x:v>Not Run</x:v>
      </x:c>
      <x:c r="H160" s="14" t="str"/>
      <x:c r="I160" s="14" t="str"/>
      <x:c r="J160" s="14" t="str"/>
      <x:c r="K160" s="14" t="str"/>
    </x:row>
    <x:row r="161" ht="70" customHeight="1">
      <x:c r="A161" s="12" t="str">
        <x:v>URL-156</x:v>
      </x:c>
      <x:c r="B161" s="12" t="str">
        <x:v>/certificates</x:v>
      </x:c>
      <x:c r="C161" s="12" t="str">
        <x:v>admin, super_admin, bir</x:v>
      </x:c>
      <x:c r="D161" s="12" t="str">
        <x:v>Page</x:v>
      </x:c>
      <x:c r="E161" s="12" t="str">
        <x:v>PAGE-001 to PAGE-008</x:v>
      </x:c>
      <x:c r="F161" s="12" t="str">
        <x:v>Navigation; API access; controls; responsive UI; loading; branding; export; timing.</x:v>
      </x:c>
      <x:c r="G161" s="14" t="str">
        <x:v>Not Run</x:v>
      </x:c>
      <x:c r="H161" s="14" t="str"/>
      <x:c r="I161" s="14" t="str"/>
      <x:c r="J161" s="14" t="str"/>
      <x:c r="K161" s="14" t="str"/>
    </x:row>
    <x:row r="162" ht="70" customHeight="1">
      <x:c r="A162" s="11" t="str">
        <x:v>URL-157</x:v>
      </x:c>
      <x:c r="B162" s="11" t="str">
        <x:v>/archive</x:v>
      </x:c>
      <x:c r="C162" s="11" t="str">
        <x:v>admin, super_admin, bir</x:v>
      </x:c>
      <x:c r="D162" s="11" t="str">
        <x:v>Page</x:v>
      </x:c>
      <x:c r="E162" s="11" t="str">
        <x:v>PAGE-001 to PAGE-008</x:v>
      </x:c>
      <x:c r="F162" s="11" t="str">
        <x:v>Navigation; API access; controls; responsive UI; loading; branding; export; timing.</x:v>
      </x:c>
      <x:c r="G162" s="14" t="str">
        <x:v>Not Run</x:v>
      </x:c>
      <x:c r="H162" s="14" t="str"/>
      <x:c r="I162" s="14" t="str"/>
      <x:c r="J162" s="14" t="str"/>
      <x:c r="K162" s="14" t="str"/>
    </x:row>
    <x:row r="163" ht="70" customHeight="1">
      <x:c r="A163" s="12" t="str">
        <x:v>URL-158</x:v>
      </x:c>
      <x:c r="B163" s="12" t="str">
        <x:v>/bcdr</x:v>
      </x:c>
      <x:c r="C163" s="12" t="str">
        <x:v>admin, super_admin</x:v>
      </x:c>
      <x:c r="D163" s="12" t="str">
        <x:v>Redirect</x:v>
      </x:c>
      <x:c r="E163" s="12" t="str">
        <x:v>/super-admin/backups</x:v>
      </x:c>
      <x:c r="F163" s="12" t="str">
        <x:v>Expected redirect, authentication and destination scope.</x:v>
      </x:c>
      <x:c r="G163" s="14" t="str">
        <x:v>Not Run</x:v>
      </x:c>
      <x:c r="H163" s="14" t="str"/>
      <x:c r="I163" s="14" t="str"/>
      <x:c r="J163" s="14" t="str"/>
      <x:c r="K163" s="14" t="str"/>
    </x:row>
    <x:row r="164" ht="70" customHeight="1">
      <x:c r="A164" s="11" t="str">
        <x:v>URL-159</x:v>
      </x:c>
      <x:c r="B164" s="11" t="str">
        <x:v>/soc</x:v>
      </x:c>
      <x:c r="C164" s="11" t="str">
        <x:v>admin, super_admin, bir</x:v>
      </x:c>
      <x:c r="D164" s="11" t="str">
        <x:v>Page</x:v>
      </x:c>
      <x:c r="E164" s="11" t="str">
        <x:v>PAGE-001 to PAGE-008</x:v>
      </x:c>
      <x:c r="F164" s="11" t="str">
        <x:v>Navigation; API access; controls; responsive UI; loading; branding; export; timing.</x:v>
      </x:c>
      <x:c r="G164" s="14" t="str">
        <x:v>Not Run</x:v>
      </x:c>
      <x:c r="H164" s="14" t="str"/>
      <x:c r="I164" s="14" t="str"/>
      <x:c r="J164" s="14" t="str"/>
      <x:c r="K164" s="14" t="str"/>
    </x:row>
    <x:row r="165" ht="70" customHeight="1">
      <x:c r="A165" s="12" t="str">
        <x:v>URL-160</x:v>
      </x:c>
      <x:c r="B165" s="12" t="str">
        <x:v>/soc/operations</x:v>
      </x:c>
      <x:c r="C165" s="12" t="str">
        <x:v>admin, super_admin, bir</x:v>
      </x:c>
      <x:c r="D165" s="12" t="str">
        <x:v>Page</x:v>
      </x:c>
      <x:c r="E165" s="12" t="str">
        <x:v>PAGE-001 to PAGE-008</x:v>
      </x:c>
      <x:c r="F165" s="12" t="str">
        <x:v>Navigation; API access; controls; responsive UI; loading; branding; export; timing.</x:v>
      </x:c>
      <x:c r="G165" s="14" t="str">
        <x:v>Not Run</x:v>
      </x:c>
      <x:c r="H165" s="14" t="str"/>
      <x:c r="I165" s="14" t="str"/>
      <x:c r="J165" s="14" t="str"/>
      <x:c r="K165" s="14" t="str"/>
    </x:row>
    <x:row r="166" ht="70" customHeight="1">
      <x:c r="A166" s="11" t="str">
        <x:v>URL-161</x:v>
      </x:c>
      <x:c r="B166" s="11" t="str">
        <x:v>/accreditation</x:v>
      </x:c>
      <x:c r="C166" s="11" t="str">
        <x:v>admin, super_admin, bir</x:v>
      </x:c>
      <x:c r="D166" s="11" t="str">
        <x:v>Page</x:v>
      </x:c>
      <x:c r="E166" s="11" t="str">
        <x:v>PAGE-001 to PAGE-008</x:v>
      </x:c>
      <x:c r="F166" s="11" t="str">
        <x:v>Navigation; API access; controls; responsive UI; loading; branding; export; timing.</x:v>
      </x:c>
      <x:c r="G166" s="14" t="str">
        <x:v>Not Run</x:v>
      </x:c>
      <x:c r="H166" s="14" t="str"/>
      <x:c r="I166" s="14" t="str"/>
      <x:c r="J166" s="14" t="str"/>
      <x:c r="K166" s="14" t="str"/>
    </x:row>
    <x:row r="167" ht="70" customHeight="1">
      <x:c r="A167" s="12" t="str">
        <x:v>URL-162</x:v>
      </x:c>
      <x:c r="B167" s="12" t="str">
        <x:v>/executive</x:v>
      </x:c>
      <x:c r="C167" s="12" t="str">
        <x:v>admin, super_admin, bir</x:v>
      </x:c>
      <x:c r="D167" s="12" t="str">
        <x:v>Page</x:v>
      </x:c>
      <x:c r="E167" s="12" t="str">
        <x:v>PAGE-001 to PAGE-008</x:v>
      </x:c>
      <x:c r="F167" s="12" t="str">
        <x:v>Navigation; API access; controls; responsive UI; loading; branding; export; timing.</x:v>
      </x:c>
      <x:c r="G167" s="14" t="str">
        <x:v>Not Run</x:v>
      </x:c>
      <x:c r="H167" s="14" t="str"/>
      <x:c r="I167" s="14" t="str"/>
      <x:c r="J167" s="14" t="str"/>
      <x:c r="K167" s="14" t="str"/>
    </x:row>
    <x:row r="168" ht="70" customHeight="1">
      <x:c r="A168" s="11" t="str">
        <x:v>URL-163</x:v>
      </x:c>
      <x:c r="B168" s="11" t="str">
        <x:v>/ai</x:v>
      </x:c>
      <x:c r="C168" s="11" t="str">
        <x:v>Authenticated; verify resource policy</x:v>
      </x:c>
      <x:c r="D168" s="11" t="str">
        <x:v>Page</x:v>
      </x:c>
      <x:c r="E168" s="11" t="str">
        <x:v>PAGE-001 to PAGE-008</x:v>
      </x:c>
      <x:c r="F168" s="11" t="str">
        <x:v>Navigation; API access; controls; responsive UI; loading; branding; export; timing.</x:v>
      </x:c>
      <x:c r="G168" s="14" t="str">
        <x:v>Not Run</x:v>
      </x:c>
      <x:c r="H168" s="14" t="str"/>
      <x:c r="I168" s="14" t="str"/>
      <x:c r="J168" s="14" t="str"/>
      <x:c r="K168" s="14" t="str"/>
    </x:row>
    <x:row r="169" ht="70" customHeight="1">
      <x:c r="A169" s="12" t="str">
        <x:v>URL-164</x:v>
      </x:c>
      <x:c r="B169" s="12" t="str">
        <x:v>/system</x:v>
      </x:c>
      <x:c r="C169" s="12" t="str">
        <x:v>admin, super_admin</x:v>
      </x:c>
      <x:c r="D169" s="12" t="str">
        <x:v>Page</x:v>
      </x:c>
      <x:c r="E169" s="12" t="str">
        <x:v>PAGE-001 to PAGE-008</x:v>
      </x:c>
      <x:c r="F169" s="12" t="str">
        <x:v>Navigation; API access; controls; responsive UI; loading; branding; export; timing.</x:v>
      </x:c>
      <x:c r="G169" s="14" t="str">
        <x:v>Not Run</x:v>
      </x:c>
      <x:c r="H169" s="14" t="str"/>
      <x:c r="I169" s="14" t="str"/>
      <x:c r="J169" s="14" t="str"/>
      <x:c r="K169" s="14" t="str"/>
    </x:row>
    <x:row r="170" ht="70" customHeight="1">
      <x:c r="A170" s="11" t="str">
        <x:v>URL-165</x:v>
      </x:c>
      <x:c r="B170" s="11" t="str">
        <x:v>/platform</x:v>
      </x:c>
      <x:c r="C170" s="11" t="str">
        <x:v>admin, super_admin, bir</x:v>
      </x:c>
      <x:c r="D170" s="11" t="str">
        <x:v>Page</x:v>
      </x:c>
      <x:c r="E170" s="11" t="str">
        <x:v>PAGE-001 to PAGE-008</x:v>
      </x:c>
      <x:c r="F170" s="11" t="str">
        <x:v>Navigation; API access; controls; responsive UI; loading; branding; export; timing.</x:v>
      </x:c>
      <x:c r="G170" s="14" t="str">
        <x:v>Not Run</x:v>
      </x:c>
      <x:c r="H170" s="14" t="str"/>
      <x:c r="I170" s="14" t="str"/>
      <x:c r="J170" s="14" t="str"/>
      <x:c r="K170" s="14" t="str"/>
    </x:row>
    <x:row r="171" ht="70" customHeight="1">
      <x:c r="A171" s="12" t="str">
        <x:v>URL-166</x:v>
      </x:c>
      <x:c r="B171" s="12" t="str">
        <x:v>/analytics</x:v>
      </x:c>
      <x:c r="C171" s="12" t="str">
        <x:v>admin, super_admin, bir</x:v>
      </x:c>
      <x:c r="D171" s="12" t="str">
        <x:v>Page</x:v>
      </x:c>
      <x:c r="E171" s="12" t="str">
        <x:v>PAGE-001 to PAGE-008</x:v>
      </x:c>
      <x:c r="F171" s="12" t="str">
        <x:v>Navigation; API access; controls; responsive UI; loading; branding; export; timing.</x:v>
      </x:c>
      <x:c r="G171" s="14" t="str">
        <x:v>Not Run</x:v>
      </x:c>
      <x:c r="H171" s="14" t="str"/>
      <x:c r="I171" s="14" t="str"/>
      <x:c r="J171" s="14" t="str"/>
      <x:c r="K171" s="14" t="str"/>
    </x:row>
  </x:sheetData>
  <x:conditionalFormatting sqref="G6:G171">
    <x:cfRule type="expression" dxfId="3" priority="1">
      <x:formula>$G6="Fail"</x:formula>
    </x:cfRule>
    <x:cfRule type="expression" dxfId="4" priority="2">
      <x:formula>OR($G6="Blocked",$G6="Deferred")</x:formula>
    </x:cfRule>
    <x:cfRule type="expression" dxfId="5" priority="3">
      <x:formula>$G6="Pass"</x:formula>
    </x:cfRule>
  </x:conditionalFormatting>
  <x:dataValidations count="1">
    <x:dataValidation type="list" sqref="G6:G171">
      <x:formula1>"Not Run,In Progress,Pass,Fail,Blocked,Deferred,N/A"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f77d7670204c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84" hidden="0" customWidth="1"/>
    <x:col min="4" max="4" width="83" hidden="0" customWidth="1"/>
  </x:cols>
  <x:sheetData>
    <x:row r="1" ht="10" customHeight="1">
      <x:c r="A1" s="2"/>
      <x:c r="B1" s="2"/>
      <x:c r="C1" s="2"/>
      <x:c r="D1" s="2"/>
    </x:row>
    <x:row r="2" ht="29" customHeight="1">
      <x:c r="A2" s="4" t="str">
        <x:v>NUERS QA TEST DATA</x:v>
      </x:c>
      <x:c r="B2" s="2"/>
      <x:c r="C2" s="2"/>
      <x:c r="D2" s="2"/>
    </x:row>
    <x:row r="3" ht="24" customHeight="1">
      <x:c r="A3" s="5" t="str">
        <x:v>Synthetic fixtures and proposed performance targets. Record exact fixture version and approved oracle before execution.</x:v>
      </x:c>
      <x:c r="B3" s="2"/>
      <x:c r="C3" s="2"/>
      <x:c r="D3" s="2"/>
    </x:row>
    <x:row r="4" ht="8" customHeight="1">
      <x:c r="A4" s="3"/>
      <x:c r="B4" s="3"/>
      <x:c r="C4" s="3"/>
      <x:c r="D4" s="3"/>
    </x:row>
    <x:row r="5" ht="34" customHeight="1">
      <x:c r="A5" s="9" t="str">
        <x:v>Data ID</x:v>
      </x:c>
      <x:c r="B5" s="9" t="str">
        <x:v>Fixture</x:v>
      </x:c>
      <x:c r="C5" s="9" t="str">
        <x:v>Required setup / values</x:v>
      </x:c>
      <x:c r="D5" s="9" t="str">
        <x:v>Expected control / use</x:v>
      </x:c>
    </x:row>
    <x:row r="6" ht="86" customHeight="1">
      <x:c r="A6" s="11" t="str">
        <x:v>D01</x:v>
      </x:c>
      <x:c r="B6" s="11" t="str">
        <x:v>Accounts and roles</x:v>
      </x:c>
      <x:c r="C6" s="11" t="str">
        <x:v>Two unrelated merchants A/B; two branches each; owner, restricted staff, Admin and Super Admin; suspended/unassigned users.</x:v>
      </x:c>
      <x:c r="D6" s="11" t="str">
        <x:v>Synthetic identities only. Record exact role/capability matrix and account aliases; no passwords in workbook.</x:v>
      </x:c>
    </x:row>
    <x:row r="7" ht="86" customHeight="1">
      <x:c r="A7" s="12" t="str">
        <x:v>D02</x:v>
      </x:c>
      <x:c r="B7" s="12" t="str">
        <x:v>Login identities</x:v>
      </x:c>
      <x:c r="C7" s="12" t="str">
        <x:v>Controlled registered Google account, controlled unregistered email, expired sessions and recovery tokens.</x:v>
      </x:c>
      <x:c r="D7" s="12" t="str">
        <x:v>Use approved test identities. Tokens are secret; store only redacted evidence.</x:v>
      </x:c>
    </x:row>
    <x:row r="8" ht="86" customHeight="1">
      <x:c r="A8" s="11" t="str">
        <x:v>D03</x:v>
      </x:c>
      <x:c r="B8" s="11" t="str">
        <x:v>MFA devices</x:v>
      </x:c>
      <x:c r="C8" s="11" t="str">
        <x:v>Two physical/test authenticators, pending/expired enrollment and one-use recovery codes.</x:v>
      </x:c>
      <x:c r="D8" s="11" t="str">
        <x:v>Keep secrets outside the workbook. Record device alias and test time.</x:v>
      </x:c>
    </x:row>
    <x:row r="9" ht="86" customHeight="1">
      <x:c r="A9" s="12" t="str">
        <x:v>D04</x:v>
      </x:c>
      <x:c r="B9" s="12" t="str">
        <x:v>Tenant collision fixture</x:v>
      </x:c>
      <x:c r="C9" s="12" t="str">
        <x:v>A and B each own the same visible invoice number, plus distinct IDs, customers, attachments and balances.</x:v>
      </x:c>
      <x:c r="D9" s="12" t="str">
        <x:v>Expected access: own permitted data only. Admin lookup must use exact source and merchant identity.</x:v>
      </x:c>
    </x:row>
    <x:row r="10" ht="86" customHeight="1">
      <x:c r="A10" s="11" t="str">
        <x:v>D05</x:v>
      </x:c>
      <x:c r="B10" s="11" t="str">
        <x:v>Registry and branches</x:v>
      </x:c>
      <x:c r="C10" s="11" t="str">
        <x:v>Complete/incomplete identity, protected change request, accepted/rejected evidence, active/inactive branch and terminal.</x:v>
      </x:c>
      <x:c r="D10" s="11" t="str">
        <x:v>Use synthetic TIN/registration references valid for the staging validators. Never submit fictitious records to BIR.</x:v>
      </x:c>
    </x:row>
    <x:row r="11" ht="86" customHeight="1">
      <x:c r="A11" s="12" t="str">
        <x:v>D06</x:v>
      </x:c>
      <x:c r="B11" s="12" t="str">
        <x:v>Numbering and documents</x:v>
      </x:c>
      <x:c r="C11" s="12" t="str">
        <x:v>Active/expired/exhausted/missing series; issued, draft, voided, corrected and payment-copy records.</x:v>
      </x:c>
      <x:c r="D11" s="12" t="str">
        <x:v>Record approved sequence range and expected original links before execution.</x:v>
      </x:c>
    </x:row>
    <x:row r="12" ht="86" customHeight="1">
      <x:c r="A12" s="11" t="str">
        <x:v>D07</x:v>
      </x:c>
      <x:c r="B12" s="11" t="str">
        <x:v>Arithmetic baseline</x:v>
      </x:c>
      <x:c r="C12" s="11" t="str">
        <x:v>Regression fixture: VAT-inclusive PHP 1,120 = PHP 1,000 base + PHP 120 VAT. Manual discount PHP 112 gives PHP 900 base + PHP 108 VAT = PHP 1,008.</x:v>
      </x:c>
      <x:c r="D12" s="11" t="str">
        <x:v>Application regression oracle only. Finance/compliance reviewer approves applicable tax fixtures before execution.</x:v>
      </x:c>
    </x:row>
    <x:row r="13" ht="86" customHeight="1">
      <x:c r="A13" s="12" t="str">
        <x:v>D08</x:v>
      </x:c>
      <x:c r="B13" s="12" t="str">
        <x:v>Benefit fixtures</x:v>
      </x:c>
      <x:c r="C13" s="12" t="str">
        <x:v>Separate senior citizen, PWD, national athlete/coach and solo-parent cases; eligible/ineligible lines and valid/missing/expired proof.</x:v>
      </x:c>
      <x:c r="D13" s="12" t="str">
        <x:v>Use reviewed current eligibility/rate/scope rules. Do not infer legal eligibility from age/category alone.</x:v>
      </x:c>
    </x:row>
    <x:row r="14" ht="86" customHeight="1">
      <x:c r="A14" s="11" t="str">
        <x:v>D09</x:v>
      </x:c>
      <x:c r="B14" s="11" t="str">
        <x:v>Receipt rendering</x:v>
      </x:c>
      <x:c r="C14" s="11" t="str">
        <x:v>Different profile and invoice logos; short/long receipt, Unicode, missing image, multi-page items and all templates.</x:v>
      </x:c>
      <x:c r="D14" s="11" t="str">
        <x:v>Preserve financial oracle. The globally removed lower section must stay absent.</x:v>
      </x:c>
    </x:row>
    <x:row r="15" ht="86" customHeight="1">
      <x:c r="A15" s="12" t="str">
        <x:v>D10</x:v>
      </x:c>
      <x:c r="B15" s="12" t="str">
        <x:v>API events</x:v>
      </x:c>
      <x:c r="C15" s="12" t="str">
        <x:v>Unique/replayed/conflicting event IDs, key scopes/environments, malformed payload, atomic batch and dropped response.</x:v>
      </x:c>
      <x:c r="D15" s="12" t="str">
        <x:v>Use staging API keys and fresh synthetic identities. Never place keys in evidence or this workbook.</x:v>
      </x:c>
    </x:row>
    <x:row r="16" ht="86" customHeight="1">
      <x:c r="A16" s="11" t="str">
        <x:v>D11</x:v>
      </x:c>
      <x:c r="B16" s="11" t="str">
        <x:v>Delivery sinks</x:v>
      </x:c>
      <x:c r="C16" s="11" t="str">
        <x:v>Controlled test mailbox/mail sink and HTTPS webhook receiver with signature verification.</x:v>
      </x:c>
      <x:c r="D16" s="11" t="str">
        <x:v>No real customer notifications. Capture delivery ID, recipient alias and attachment hash.</x:v>
      </x:c>
    </x:row>
    <x:row r="17" ht="86" customHeight="1">
      <x:c r="A17" s="12" t="str">
        <x:v>D12</x:v>
      </x:c>
      <x:c r="B17" s="12" t="str">
        <x:v>Wallet fixtures</x:v>
      </x:c>
      <x:c r="C17" s="12" t="str">
        <x:v>Fee PHP 3; threshold PHP 0 then PHP 500; balances PHP 0, 2.99, 3.00 and funded wallet; pending/approved/rejected deposits.</x:v>
      </x:c>
      <x:c r="D17" s="12" t="str">
        <x:v>Five distinct eligible sales at minimum 0 must deduct PHP 15. Boundary amounts 499.99/500/500.01.</x:v>
      </x:c>
    </x:row>
    <x:row r="18" ht="86" customHeight="1">
      <x:c r="A18" s="11" t="str">
        <x:v>D13</x:v>
      </x:c>
      <x:c r="B18" s="11" t="str">
        <x:v>Paging and dates</x:v>
      </x:c>
      <x:c r="C18" s="11" t="str">
        <x:v>0, 1, page-size, page-size+1, 100k and 1M rows; equal timestamps; PHT midnight/month/year boundaries; future rows.</x:v>
      </x:c>
      <x:c r="D18" s="11" t="str">
        <x:v>Record independent totals per tenant, environment, status and period. Include skewed distributions.</x:v>
      </x:c>
    </x:row>
    <x:row r="19" ht="86" customHeight="1">
      <x:c r="A19" s="12" t="str">
        <x:v>D14</x:v>
      </x:c>
      <x:c r="B19" s="12" t="str">
        <x:v>Exports</x:v>
      </x:c>
      <x:c r="C19" s="12" t="str">
        <x:v>Unicode, commas/quotes/newlines, leading-zero identifiers, formula-like text and multiple report pages.</x:v>
      </x:c>
      <x:c r="D19" s="12" t="str">
        <x:v>Compare full matching scope against independent expected count and sum, not only visible page.</x:v>
      </x:c>
    </x:row>
    <x:row r="20" ht="86" customHeight="1">
      <x:c r="A20" s="11" t="str">
        <x:v>D15</x:v>
      </x:c>
      <x:c r="B20" s="11" t="str">
        <x:v>Authority evidence</x:v>
      </x:c>
      <x:c r="C20" s="11" t="str">
        <x:v>Synthetic permit/accreditation/coverage/version profiles, valid and expired records, current and stale revisions.</x:v>
      </x:c>
      <x:c r="D20" s="11" t="str">
        <x:v>Internal preparation only; never label synthetic evidence as BIR approval.</x:v>
      </x:c>
    </x:row>
    <x:row r="21" ht="86" customHeight="1">
      <x:c r="A21" s="12" t="str">
        <x:v>D16</x:v>
      </x:c>
      <x:c r="B21" s="12" t="str">
        <x:v>BIR adapter fakes</x:v>
      </x:c>
      <x:c r="C21" s="12" t="str">
        <x:v>Maintained protocol fixtures, fake auth/inquiry, 1/100/over-limit mapped invoices, partial/unknown/duplicate responses.</x:v>
      </x:c>
      <x:c r="D21" s="12" t="str">
        <x:v>No external requests during local tests. Actual interoperability waits for issued credentials and permission.</x:v>
      </x:c>
    </x:row>
    <x:row r="22" ht="86" customHeight="1">
      <x:c r="A22" s="11" t="str">
        <x:v>D17</x:v>
      </x:c>
      <x:c r="B22" s="11" t="str">
        <x:v>Infrastructure fixtures</x:v>
      </x:c>
      <x:c r="C22" s="11" t="str">
        <x:v>Planned nodes; fake controller; fresh/stale telemetry; unsafe peer/quorum; independent test reviewers.</x:v>
      </x:c>
      <x:c r="D22" s="11" t="str">
        <x:v>Do not reboot/shutdown production to run this checklist.</x:v>
      </x:c>
    </x:row>
    <x:row r="23" ht="86" customHeight="1">
      <x:c r="A23" s="12" t="str">
        <x:v>D18</x:v>
      </x:c>
      <x:c r="B23" s="12" t="str">
        <x:v>Recovery fixtures</x:v>
      </x:c>
      <x:c r="C23" s="12" t="str">
        <x:v>Encrypted synthetic backup, known hashes, wrong key, corrupt archive, empty isolated restore target and timestamped commits.</x:v>
      </x:c>
      <x:c r="D23" s="12" t="str">
        <x:v>Record lab RTO/RPO. Production claims require a separate real approved recovery exercise.</x:v>
      </x:c>
    </x:row>
    <x:row r="24" ht="86" customHeight="1">
      <x:c r="A24" s="11" t="str">
        <x:v>D19</x:v>
      </x:c>
      <x:c r="B24" s="11" t="str">
        <x:v>Scale workload</x:v>
      </x:c>
      <x:c r="C24" s="11" t="str">
        <x:v>Run 1M total rows across merchants and separately 1M in one tenant; skew 95% toward hot tenant; mixed reads/writes/exports.</x:v>
      </x:c>
      <x:c r="D24" s="11" t="str">
        <x:v>Agree hardware, concurrency, query mix, duration and target metrics before the run.</x:v>
      </x:c>
    </x:row>
    <x:row r="25" ht="86" customHeight="1">
      <x:c r="A25" s="12" t="str">
        <x:v>D20</x:v>
      </x:c>
      <x:c r="B25" s="12" t="str">
        <x:v>Auxiliary records</x:v>
      </x:c>
      <x:c r="C25" s="12" t="str">
        <x:v>Synthetic customer/client records, private support conversations, unread notifications and public document links.</x:v>
      </x:c>
      <x:c r="D25" s="12" t="str">
        <x:v>Give each tenant recognizably different fixture data to detect leaks.</x:v>
      </x:c>
    </x:row>
    <x:row r="26" ht="23" customHeight="1">
      <x:c r="A26" s="2"/>
      <x:c r="B26" s="2"/>
      <x:c r="C26" s="2"/>
      <x:c r="D26" s="2"/>
    </x:row>
    <x:row r="27" ht="23" customHeight="1">
      <x:c r="A27" s="2"/>
      <x:c r="B27" s="2"/>
      <x:c r="C27" s="2"/>
      <x:c r="D27" s="2"/>
    </x:row>
    <x:row r="28" ht="23" customHeight="1">
      <x:c r="A28" s="16" t="str">
        <x:v>PROPOSED PERFORMANCE TARGETS</x:v>
      </x:c>
      <x:c r="B28" s="2"/>
      <x:c r="C28" s="2"/>
      <x:c r="D28" s="2"/>
    </x:row>
    <x:row r="29" ht="34" customHeight="1">
      <x:c r="A29" s="9" t="str">
        <x:v>Target ID</x:v>
      </x:c>
      <x:c r="B29" s="9" t="str">
        <x:v>Measure</x:v>
      </x:c>
      <x:c r="C29" s="9" t="str">
        <x:v>Proposed acceptance target</x:v>
      </x:c>
      <x:c r="D29" s="9" t="str">
        <x:v>Protocol / limitation</x:v>
      </x:c>
    </x:row>
    <x:row r="30" ht="86" customHeight="1">
      <x:c r="A30" s="11" t="str">
        <x:v>T01</x:v>
      </x:c>
      <x:c r="B30" s="11" t="str">
        <x:v>Paged read API</x:v>
      </x:c>
      <x:c r="C30" s="11" t="str">
        <x:v>p95 ≤ 2 s; p99 ≤ 5 s on supported indexed filters.</x:v>
      </x:c>
      <x:c r="D30" s="11" t="str">
        <x:v>Measure at the agreed concurrency with 1M rows, warm/cold caches and realistic selectivity. Proposed target, not an existing SLA.</x:v>
      </x:c>
    </x:row>
    <x:row r="31" ht="86" customHeight="1">
      <x:c r="A31" s="11" t="str">
        <x:v>T02</x:v>
      </x:c>
      <x:c r="B31" s="11" t="str">
        <x:v>First useful page content</x:v>
      </x:c>
      <x:c r="C31" s="11" t="str">
        <x:v>p95 ≤ 3 s on the agreed desktop/network profile.</x:v>
      </x:c>
      <x:c r="D31" s="11" t="str">
        <x:v>Measure rows/widgets becoming usable, not just HTML response. Track slow devices separately.</x:v>
      </x:c>
    </x:row>
    <x:row r="32" ht="86" customHeight="1">
      <x:c r="A32" s="11" t="str">
        <x:v>T03</x:v>
      </x:c>
      <x:c r="B32" s="11" t="str">
        <x:v>Realtime freshness</x:v>
      </x:c>
      <x:c r="C32" s="11" t="str">
        <x:v>Configured revision check around 1 s; changed data visible p95 ≤ 5 s after commit.</x:v>
      </x:c>
      <x:c r="D32" s="11" t="str">
        <x:v>Keep one coordinated refresh loop; no overlapping heavy queries or unexpected 429 storm. Record browser background behavior.</x:v>
      </x:c>
    </x:row>
    <x:row r="33" ht="86" customHeight="1">
      <x:c r="A33" s="11" t="str">
        <x:v>T04</x:v>
      </x:c>
      <x:c r="B33" s="11" t="str">
        <x:v>Read/write correctness</x:v>
      </x:c>
      <x:c r="C33" s="11" t="str">
        <x:v>0 tenant leaks, 0 duplicate accepted sales/fees, 0 unexplained balance or total mismatch.</x:v>
      </x:c>
      <x:c r="D33" s="11" t="str">
        <x:v>Expected validation/permission rejections are not service failures. Reconcile after every load/recovery run.</x:v>
      </x:c>
    </x:row>
    <x:row r="34" ht="86" customHeight="1">
      <x:c r="A34" s="11" t="str">
        <x:v>T05</x:v>
      </x:c>
      <x:c r="B34" s="11" t="str">
        <x:v>Unexpected request failure</x:v>
      </x:c>
      <x:c r="C34" s="11" t="str">
        <x:v>Unexpected 5xx/timeouts &lt; 0.1% during the agreed steady-state run.</x:v>
      </x:c>
      <x:c r="D34" s="11" t="str">
        <x:v>Separate scheduled fault injection and expected throttling. Log absolute request counts and each failure reason.</x:v>
      </x:c>
    </x:row>
    <x:row r="35" ht="86" customHeight="1">
      <x:c r="A35" s="11" t="str">
        <x:v>T06</x:v>
      </x:c>
      <x:c r="B35" s="11" t="str">
        <x:v>Load protocol</x:v>
      </x:c>
      <x:c r="C35" s="11" t="str">
        <x:v>Ramp 1, 10, 50, 100 concurrent users; higher load only against an agreed capacity plan.</x:v>
      </x:c>
      <x:c r="D35" s="11" t="str">
        <x:v>Run for 15 minutes per stage, then 2-hour soak. Capture p50/p95/p99, throughput, CPU/RAM, DB plans/locks and queue lag.</x:v>
      </x:c>
    </x:row>
    <x:row r="36" ht="86" customHeight="1">
      <x:c r="A36" s="11" t="str">
        <x:v>T07</x:v>
      </x:c>
      <x:c r="B36" s="11" t="str">
        <x:v>Exports and recovery</x:v>
      </x:c>
      <x:c r="C36" s="11" t="str">
        <x:v>Agree size/job completion and RTO/RPO targets before execution; record actual results.</x:v>
      </x:c>
      <x:c r="D36" s="11" t="str">
        <x:v>No invented production recovery result. Large PDFs may have explicit supported limits; no silent truncation.</x:v>
      </x:c>
    </x:row>
    <x:row r="37" ht="86" customHeight="1">
      <x:c r="A37" s="11" t="str">
        <x:v>T08</x:v>
      </x:c>
      <x:c r="B37" s="11" t="str">
        <x:v>Approval record</x:v>
      </x:c>
      <x:c r="C37" s="11" t="str">
        <x:v>QA lead: ______   Ops lead: ______   Approved targets/date: ______</x:v>
      </x:c>
      <x:c r="D37" s="11" t="str">
        <x:v>Write the exact environment, hardware, build, data volume, scenario mix and target deviations in execution evidence.</x:v>
      </x:c>
    </x:row>
    <x:row r="38" ht="23" customHeight="1">
      <x:c r="A38" s="2"/>
      <x:c r="B38" s="2"/>
      <x:c r="C38" s="2"/>
      <x:c r="D38" s="2"/>
    </x:row>
    <x:row r="39" ht="23" customHeight="1">
      <x:c r="A39" s="2"/>
      <x:c r="B39" s="2"/>
      <x:c r="C39" s="2"/>
      <x:c r="D39" s="2"/>
    </x:row>
    <x:row r="40" ht="34" customHeight="1">
      <x:c r="A40" s="9" t="str">
        <x:v>Guide</x:v>
      </x:c>
      <x:c r="B40" s="9" t="str">
        <x:v>Topic</x:v>
      </x:c>
      <x:c r="C40" s="9" t="str">
        <x:v>Execution guidance</x:v>
      </x:c>
      <x:c r="D40" s="9" t="str"/>
    </x:row>
    <x:row r="41" ht="65" customHeight="1">
      <x:c r="A41" s="11" t="str">
        <x:v>G1</x:v>
      </x:c>
      <x:c r="B41" s="11" t="str">
        <x:v>Plan status</x:v>
      </x:c>
      <x:c r="C41" s="11" t="str">
        <x:v>No system QA execution is claimed by this workbook. All cases/routes start Not Run. Existing automated tests are supporting coverage, not current results.</x:v>
      </x:c>
      <x:c r="D41" s="11" t="str"/>
    </x:row>
    <x:row r="42" ht="65" customHeight="1">
      <x:c r="A42" s="11" t="str">
        <x:v>G2</x:v>
      </x:c>
      <x:c r="B42" s="11" t="str">
        <x:v>Environment</x:v>
      </x:c>
      <x:c r="C42" s="11" t="str">
        <x:v>Run functional mutations on staging with synthetic data. Run performance, fault injection and recovery in an isolated environment. Live smoke is read-only unless separately authorized.</x:v>
      </x:c>
      <x:c r="D42" s="11" t="str"/>
    </x:row>
    <x:row r="43" ht="65" customHeight="1">
      <x:c r="A43" s="11" t="str">
        <x:v>G3</x:v>
      </x:c>
      <x:c r="B43" s="11" t="str">
        <x:v>Execution order</x:v>
      </x:c>
      <x:c r="C43" s="11" t="str">
        <x:v>1. Login and tenant isolation  2. Invoice/API/wallet smoke  3. Full functional cases  4. All page routes/exports  5. Security/load/recovery  6. Defect retest and regression.</x:v>
      </x:c>
      <x:c r="D43" s="11" t="str"/>
    </x:row>
    <x:row r="44" ht="65" customHeight="1">
      <x:c r="A44" s="11" t="str">
        <x:v>G4</x:v>
      </x:c>
      <x:c r="B44" s="11" t="str">
        <x:v>Priorities</x:v>
      </x:c>
      <x:c r="C44" s="11" t="str">
        <x:v>P0: security, ownership, financial correctness, immutable records or release-critical control. P1: core usability, reporting and operational behavior. Run P0 first.</x:v>
      </x:c>
      <x:c r="D44" s="11" t="str"/>
    </x:row>
    <x:row r="45" ht="65" customHeight="1">
      <x:c r="A45" s="11" t="str">
        <x:v>G5</x:v>
      </x:c>
      <x:c r="B45" s="11" t="str">
        <x:v>Record a result</x:v>
      </x:c>
      <x:c r="C45" s="11" t="str">
        <x:v>For each variant record Result, Actual result, Evidence, Tester, Tested on, Build and Environment. Evidence should include request/response or screenshot plus relevant record IDs, with secrets redacted.</x:v>
      </x:c>
      <x:c r="D45" s="11" t="str"/>
    </x:row>
    <x:row r="46" ht="65" customHeight="1">
      <x:c r="A46" s="11" t="str">
        <x:v>G6</x:v>
      </x:c>
      <x:c r="B46" s="11" t="str">
        <x:v>Status definitions</x:v>
      </x:c>
      <x:c r="C46" s="11" t="str">
        <x:v>Not Run: no execution. In Progress: underway. Pass: expected result met with evidence. Fail: mismatch. Blocked: unmet prerequisite. Deferred: approved later scope. N/A: documented reason and QA approval.</x:v>
      </x:c>
      <x:c r="D46" s="11" t="str"/>
    </x:row>
    <x:row r="47" ht="65" customHeight="1">
      <x:c r="A47" s="11" t="str">
        <x:v>G7</x:v>
      </x:c>
      <x:c r="B47" s="11" t="str">
        <x:v>Page inventory</x:v>
      </x:c>
      <x:c r="C47" s="11" t="str">
        <x:v>Run PAGE-001 to PAGE-008 on every route and each nested tab/modal. Substitute actual authorized IDs for URL parameters. Declared route access is not proof of server authorization.</x:v>
      </x:c>
      <x:c r="D47" s="11" t="str"/>
    </x:row>
    <x:row r="48" ht="65" customHeight="1">
      <x:c r="A48" s="11" t="str">
        <x:v>G8</x:v>
      </x:c>
      <x:c r="B48" s="11" t="str">
        <x:v>External gates</x:v>
      </x:c>
      <x:c r="C48" s="11" t="str">
        <x:v>BIR-issued credentials/authorization and unprovisioned infrastructure are separate gated cases. Use Blocked/Deferred with owner and prerequisite; do not mark Pass based on a mock.</x:v>
      </x:c>
      <x:c r="D48" s="11" t="str"/>
    </x:row>
    <x:row r="49" ht="65" customHeight="1">
      <x:c r="A49" s="11" t="str">
        <x:v>G9</x:v>
      </x:c>
      <x:c r="B49" s="11" t="str">
        <x:v>Receipt baseline</x:v>
      </x:c>
      <x:c r="C49" s="11" t="str">
        <x:v>Current shared receipt omits the removed Record Evidence / verification / custom footer section. Preserve merchant logo, invoice identity, line items, financial totals and tax breakdown.</x:v>
      </x:c>
      <x:c r="D49" s="11" t="str"/>
    </x:row>
    <x:row r="50" ht="65" customHeight="1">
      <x:c r="A50" s="11" t="str">
        <x:v>G10</x:v>
      </x:c>
      <x:c r="B50" s="11" t="str">
        <x:v>Performance baseline</x:v>
      </x:c>
      <x:c r="C50" s="11" t="str">
        <x:v>Test both 1M platform rows and 1M rows for one merchant. Proposed targets are on Test Data; QA/Ops must confirm them for the exact environment before measurement.</x:v>
      </x:c>
      <x:c r="D50" s="11" t="str"/>
    </x:row>
    <x:row r="51" ht="65" customHeight="1">
      <x:c r="A51" s="11" t="str">
        <x:v>G11</x:v>
      </x:c>
      <x:c r="B51" s="11" t="str">
        <x:v>Entry criteria</x:v>
      </x:c>
      <x:c r="C51" s="11" t="str">
        <x:v>Identified release/build; isolated environment and mail sink; approved account matrix, fixtures/oracles and credentials; stable dependency setup; recovery path for test data.</x:v>
      </x:c>
      <x:c r="D51" s="11" t="str"/>
    </x:row>
    <x:row r="52" ht="65" customHeight="1">
      <x:c r="A52" s="11" t="str">
        <x:v>G12</x:v>
      </x:c>
      <x:c r="B52" s="11" t="str">
        <x:v>Exit criteria</x:v>
      </x:c>
      <x:c r="C52" s="11" t="str">
        <x:v>All in-scope P0/P1 cases and page checks passed with evidence; no open critical/high security or financial defects; fixes retested; scope exceptions and external gates explicitly signed off.</x:v>
      </x:c>
      <x:c r="D52" s="11" t="str"/>
    </x:row>
    <x:row r="53" ht="65" customHeight="1">
      <x:c r="A53" s="11" t="str">
        <x:v>G13</x:v>
      </x:c>
      <x:c r="B53" s="11" t="str">
        <x:v>Defect severity</x:v>
      </x:c>
      <x:c r="C53" s="11" t="str">
        <x:v>S1: data leak/loss, unauthorized access or widespread outage. S2: wrong financial result, blocked core flow or major control failure. S3: limited function defect. S4: minor visual/text issue.</x:v>
      </x:c>
      <x:c r="D53" s="11" t="str"/>
    </x:row>
    <x:row r="54" ht="65" customHeight="1">
      <x:c r="A54" s="11" t="str">
        <x:v>G14</x:v>
      </x:c>
      <x:c r="B54" s="11" t="str">
        <x:v>Sign-off</x:v>
      </x:c>
      <x:c r="C54" s="11" t="str">
        <x:v>QA lead: ______  Product owner: ______  Security/Ops reviewer: ______  Release/build: ______  Date: ______  Approved exceptions and unresolved gates: ______</x:v>
      </x:c>
      <x:c r="D54" s="11" t="str"/>
    </x:row>
    <x:row r="55" ht="65" customHeight="1">
      <x:c r="A55" s="11" t="str">
        <x:v>G15</x:v>
      </x:c>
      <x:c r="B55" s="11" t="str">
        <x:v>Coverage basis</x:v>
      </x:c>
      <x:c r="C55" s="11" t="str">
        <x:v>Current NUERS module/route inventory, API contract, existing regression suite names and accepted product requirements through 29 October 2026. This plan does not certify BIR approval.</x:v>
      </x:c>
      <x:c r="D55" s="11" t="str"/>
    </x:row>
  </x:sheetData>
  <x:pageMargins left="0.7" right="0.7" top="0.75" bottom="0.75" header="0.3" footer="0.3"/>
  <x:tableParts count="1">
    <x:tablePart xmlns:r="http://schemas.openxmlformats.org/officeDocument/2006/relationships" r:id="Rbda81288a19b4a9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9" hidden="0" customWidth="1"/>
    <x:col min="4" max="4" width="19" hidden="0" customWidth="1"/>
    <x:col min="5" max="5" width="38" hidden="0" customWidth="1"/>
    <x:col min="6" max="6" width="70" hidden="0" customWidth="1"/>
    <x:col min="7" max="7" width="62" hidden="0" customWidth="1"/>
    <x:col min="8" max="8" width="62" hidden="0" customWidth="1"/>
    <x:col min="9" max="9" width="40" hidden="0" customWidth="1"/>
    <x:col min="10" max="10" width="22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9" customHeight="1">
      <x:c r="A2" s="4" t="str">
        <x:v>NUERS QA DEFECT 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5" t="str">
        <x:v>Record a defect for each confirmed failure; link test ID, exact build and reproducible evidence.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8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4" customHeight="1">
      <x:c r="A5" s="9" t="str">
        <x:v>Defect ID</x:v>
      </x:c>
      <x:c r="B5" s="9" t="str">
        <x:v>Test / route ID</x:v>
      </x:c>
      <x:c r="C5" s="9" t="str">
        <x:v>Severity</x:v>
      </x:c>
      <x:c r="D5" s="9" t="str">
        <x:v>Status</x:v>
      </x:c>
      <x:c r="E5" s="9" t="str">
        <x:v>Summary</x:v>
      </x:c>
      <x:c r="F5" s="9" t="str">
        <x:v>Steps to reproduce</x:v>
      </x:c>
      <x:c r="G5" s="9" t="str">
        <x:v>Expected result</x:v>
      </x:c>
      <x:c r="H5" s="9" t="str">
        <x:v>Actual result / evidence</x:v>
      </x:c>
      <x:c r="I5" s="9" t="str">
        <x:v>Environment / build</x:v>
      </x:c>
      <x:c r="J5" s="9" t="str">
        <x:v>Owner</x:v>
      </x:c>
      <x:c r="K5" s="9" t="str">
        <x:v>Found on (PHT)</x:v>
      </x:c>
      <x:c r="L5" s="9" t="str">
        <x:v>Retested on (PHT)</x:v>
      </x:c>
      <x:c r="M5" s="9" t="str">
        <x:v>Retest evidence</x:v>
      </x:c>
    </x:row>
    <x:row r="6" ht="65" customHeight="1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5" t="str"/>
      <x:c r="L6" s="15" t="str"/>
      <x:c r="M6" s="14" t="str"/>
    </x:row>
    <x:row r="7" ht="65" customHeight="1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5" t="str"/>
      <x:c r="L7" s="15" t="str"/>
      <x:c r="M7" s="14" t="str"/>
    </x:row>
    <x:row r="8" ht="65" customHeight="1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5" t="str"/>
      <x:c r="L8" s="15" t="str"/>
      <x:c r="M8" s="14" t="str"/>
    </x:row>
    <x:row r="9" ht="65" customHeight="1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5" t="str"/>
      <x:c r="L9" s="15" t="str"/>
      <x:c r="M9" s="14" t="str"/>
    </x:row>
    <x:row r="10" ht="65" customHeight="1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5" t="str"/>
      <x:c r="L10" s="15" t="str"/>
      <x:c r="M10" s="14" t="str"/>
    </x:row>
    <x:row r="11" ht="65" customHeight="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5" t="str"/>
      <x:c r="L11" s="15" t="str"/>
      <x:c r="M11" s="14" t="str"/>
    </x:row>
    <x:row r="12" ht="65" customHeight="1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5" t="str"/>
      <x:c r="L12" s="15" t="str"/>
      <x:c r="M12" s="14" t="str"/>
    </x:row>
    <x:row r="13" ht="65" customHeight="1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5" t="str"/>
      <x:c r="L13" s="15" t="str"/>
      <x:c r="M13" s="14" t="str"/>
    </x:row>
    <x:row r="14" ht="65" customHeight="1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5" t="str"/>
      <x:c r="L14" s="15" t="str"/>
      <x:c r="M14" s="14" t="str"/>
    </x:row>
    <x:row r="15" ht="65" customHeight="1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5" t="str"/>
      <x:c r="L15" s="15" t="str"/>
      <x:c r="M15" s="14" t="str"/>
    </x:row>
    <x:row r="16" ht="65" customHeight="1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5" t="str"/>
      <x:c r="L16" s="15" t="str"/>
      <x:c r="M16" s="14" t="str"/>
    </x:row>
    <x:row r="17" ht="65" customHeight="1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5" t="str"/>
      <x:c r="L17" s="15" t="str"/>
      <x:c r="M17" s="14" t="str"/>
    </x:row>
    <x:row r="18" ht="65" customHeight="1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5" t="str"/>
      <x:c r="L18" s="15" t="str"/>
      <x:c r="M18" s="14" t="str"/>
    </x:row>
    <x:row r="19" ht="65" customHeight="1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5" t="str"/>
      <x:c r="L19" s="15" t="str"/>
      <x:c r="M19" s="14" t="str"/>
    </x:row>
    <x:row r="20" ht="65" customHeight="1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5" t="str"/>
      <x:c r="L20" s="15" t="str"/>
      <x:c r="M20" s="14" t="str"/>
    </x:row>
    <x:row r="21" ht="65" customHeight="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5" t="str"/>
      <x:c r="L21" s="15" t="str"/>
      <x:c r="M21" s="14" t="str"/>
    </x:row>
    <x:row r="22" ht="65" customHeight="1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5" t="str"/>
      <x:c r="L22" s="15" t="str"/>
      <x:c r="M22" s="14" t="str"/>
    </x:row>
    <x:row r="23" ht="65" customHeight="1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5" t="str"/>
      <x:c r="L23" s="15" t="str"/>
      <x:c r="M23" s="14" t="str"/>
    </x:row>
    <x:row r="24" ht="65" customHeight="1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5" t="str"/>
      <x:c r="L24" s="15" t="str"/>
      <x:c r="M24" s="14" t="str"/>
    </x:row>
    <x:row r="25" ht="65" customHeight="1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5" t="str"/>
      <x:c r="L25" s="15" t="str"/>
      <x:c r="M25" s="14" t="str"/>
    </x:row>
    <x:row r="26" ht="65" customHeight="1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5" t="str"/>
      <x:c r="L26" s="15" t="str"/>
      <x:c r="M26" s="14" t="str"/>
    </x:row>
    <x:row r="27" ht="65" customHeight="1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5" t="str"/>
      <x:c r="L27" s="15" t="str"/>
      <x:c r="M27" s="14" t="str"/>
    </x:row>
    <x:row r="28" ht="65" customHeight="1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5" t="str"/>
      <x:c r="L28" s="15" t="str"/>
      <x:c r="M28" s="14" t="str"/>
    </x:row>
    <x:row r="29" ht="65" customHeight="1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5" t="str"/>
      <x:c r="L29" s="15" t="str"/>
      <x:c r="M29" s="14" t="str"/>
    </x:row>
    <x:row r="30" ht="65" customHeight="1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5" t="str"/>
      <x:c r="L30" s="15" t="str"/>
      <x:c r="M30" s="14" t="str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</x:sheetData>
  <x:dataValidations count="2">
    <x:dataValidation type="list" sqref="C6:C30">
      <x:formula1>"S1 Critical,S2 High,S3 Medium,S4 Low"</x:formula1>
    </x:dataValidation>
    <x:dataValidation type="list" sqref="D6:D30">
      <x:formula1>"New,In Progress,Fixed,Awaiting Retest,Reopened,Closed,Accepted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4c66628e824ca5"/>
  </x:tableParts>
</x:worksheet>
</file>